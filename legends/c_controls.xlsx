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p-profiling\legends\"/>
    </mc:Choice>
  </mc:AlternateContent>
  <xr:revisionPtr revIDLastSave="0" documentId="13_ncr:1_{861E5C31-DD19-4FAF-BF0F-0C9EED0AD320}" xr6:coauthVersionLast="47" xr6:coauthVersionMax="47" xr10:uidLastSave="{00000000-0000-0000-0000-000000000000}"/>
  <bookViews>
    <workbookView xWindow="-7815" yWindow="-14250" windowWidth="23040" windowHeight="13560" xr2:uid="{DD9AD83A-5286-9440-9892-42B9F5689D3F}"/>
  </bookViews>
  <sheets>
    <sheet name="Legend" sheetId="5" r:id="rId1"/>
    <sheet name="Sheet1" sheetId="10" r:id="rId2"/>
    <sheet name="Names" sheetId="7" r:id="rId3"/>
    <sheet name="Concentrations" sheetId="9" r:id="rId4"/>
  </sheets>
  <definedNames>
    <definedName name="_xlnm._FilterDatabase" localSheetId="0" hidden="1">Legend!$A$4:$K$388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D17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E341" i="5" s="1"/>
  <c r="F341" i="5" s="1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E269" i="5" s="1"/>
  <c r="F269" i="5" s="1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E221" i="5" s="1"/>
  <c r="F221" i="5" s="1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E149" i="5" s="1"/>
  <c r="F149" i="5" s="1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E101" i="5" s="1"/>
  <c r="F101" i="5" s="1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E53" i="5" s="1"/>
  <c r="F53" i="5" s="1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6" i="5"/>
  <c r="D15" i="5"/>
  <c r="D14" i="5"/>
  <c r="D13" i="5"/>
  <c r="D12" i="5"/>
  <c r="D11" i="5"/>
  <c r="D10" i="5"/>
  <c r="D9" i="5"/>
  <c r="D8" i="5"/>
  <c r="D7" i="5"/>
  <c r="D6" i="5"/>
  <c r="D5" i="5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1" i="10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6" i="5"/>
  <c r="G20" i="5"/>
  <c r="G19" i="5"/>
  <c r="G18" i="5"/>
  <c r="G17" i="5"/>
  <c r="G16" i="5"/>
  <c r="G7" i="5"/>
  <c r="E245" i="5"/>
  <c r="F245" i="5" s="1"/>
  <c r="E125" i="5"/>
  <c r="F125" i="5" s="1"/>
  <c r="E77" i="5"/>
  <c r="F77" i="5" s="1"/>
  <c r="I308" i="5" a="1"/>
  <c r="I351" i="5" a="1"/>
  <c r="I345" i="5" a="1"/>
  <c r="I232" i="5" a="1"/>
  <c r="I352" i="5" a="1"/>
  <c r="I86" i="5" a="1"/>
  <c r="I109" i="5" a="1"/>
  <c r="I176" i="5" a="1"/>
  <c r="I99" i="5" a="1"/>
  <c r="I148" i="5" a="1"/>
  <c r="I183" i="5" a="1"/>
  <c r="I329" i="5" a="1"/>
  <c r="I170" i="5" a="1"/>
  <c r="I149" i="5" a="1"/>
  <c r="I132" i="5" a="1"/>
  <c r="I12" i="5" a="1"/>
  <c r="I216" i="5" a="1"/>
  <c r="I311" i="5" a="1"/>
  <c r="I322" i="5" a="1"/>
  <c r="I198" i="5" a="1"/>
  <c r="I340" i="5" a="1"/>
  <c r="I130" i="5" a="1"/>
  <c r="I280" i="5" a="1"/>
  <c r="I388" i="5" a="1"/>
  <c r="I97" i="5" a="1"/>
  <c r="I259" i="5" a="1"/>
  <c r="I33" i="5" a="1"/>
  <c r="I335" i="5" a="1"/>
  <c r="I372" i="5" a="1"/>
  <c r="I229" i="5" a="1"/>
  <c r="I333" i="5" a="1"/>
  <c r="I30" i="5" a="1"/>
  <c r="I110" i="5" a="1"/>
  <c r="I299" i="5" a="1"/>
  <c r="I116" i="5" a="1"/>
  <c r="I25" i="5" a="1"/>
  <c r="I251" i="5" a="1"/>
  <c r="I98" i="5" a="1"/>
  <c r="I90" i="5" a="1"/>
  <c r="I142" i="5" a="1"/>
  <c r="I194" i="5" a="1"/>
  <c r="I261" i="5" a="1"/>
  <c r="I367" i="5" a="1"/>
  <c r="I22" i="5" a="1"/>
  <c r="I112" i="5" a="1"/>
  <c r="I317" i="5" a="1"/>
  <c r="I213" i="5" a="1"/>
  <c r="I165" i="5" a="1"/>
  <c r="I377" i="5" a="1"/>
  <c r="I284" i="5" a="1"/>
  <c r="I362" i="5" a="1"/>
  <c r="I80" i="5" a="1"/>
  <c r="I387" i="5" a="1"/>
  <c r="I166" i="5" a="1"/>
  <c r="I10" i="5" a="1"/>
  <c r="I226" i="5" a="1"/>
  <c r="I225" i="5" a="1"/>
  <c r="I244" i="5" a="1"/>
  <c r="I318" i="5" a="1"/>
  <c r="I171" i="5" a="1"/>
  <c r="I201" i="5" a="1"/>
  <c r="I257" i="5" a="1"/>
  <c r="I195" i="5" a="1"/>
  <c r="I217" i="5" a="1"/>
  <c r="I67" i="5" a="1"/>
  <c r="I157" i="5" a="1"/>
  <c r="I55" i="5" a="1"/>
  <c r="I29" i="5" a="1"/>
  <c r="I241" i="5" a="1"/>
  <c r="I175" i="5" a="1"/>
  <c r="I27" i="5" a="1"/>
  <c r="I87" i="5" a="1"/>
  <c r="I40" i="5" a="1"/>
  <c r="I59" i="5" a="1"/>
  <c r="I111" i="5" a="1"/>
  <c r="I197" i="5" a="1"/>
  <c r="I118" i="5" a="1"/>
  <c r="I117" i="5" a="1"/>
  <c r="I260" i="5" a="1"/>
  <c r="I5" i="5" a="1"/>
  <c r="I167" i="5" a="1"/>
  <c r="I344" i="5" a="1"/>
  <c r="I187" i="5" a="1"/>
  <c r="I150" i="5" a="1"/>
  <c r="I131" i="5" a="1"/>
  <c r="I291" i="5" a="1"/>
  <c r="I180" i="5" a="1"/>
  <c r="I361" i="5" a="1"/>
  <c r="I78" i="5" a="1"/>
  <c r="I303" i="5" a="1"/>
  <c r="I44" i="5" a="1"/>
  <c r="I34" i="5" a="1"/>
  <c r="I313" i="5" a="1"/>
  <c r="I54" i="5" a="1"/>
  <c r="I238" i="5" a="1"/>
  <c r="I172" i="5" a="1"/>
  <c r="I227" i="5" a="1"/>
  <c r="I134" i="5" a="1"/>
  <c r="I272" i="5" a="1"/>
  <c r="I200" i="5" a="1"/>
  <c r="I380" i="5" a="1"/>
  <c r="I314" i="5" a="1"/>
  <c r="I53" i="5" a="1"/>
  <c r="I276" i="5" a="1"/>
  <c r="I309" i="5" a="1"/>
  <c r="I56" i="5" a="1"/>
  <c r="I48" i="5" a="1"/>
  <c r="I38" i="5" a="1"/>
  <c r="I273" i="5" a="1"/>
  <c r="I32" i="5" a="1"/>
  <c r="I190" i="5" a="1"/>
  <c r="I128" i="5" a="1"/>
  <c r="I135" i="5" a="1"/>
  <c r="I310" i="5" a="1"/>
  <c r="I253" i="5" a="1"/>
  <c r="I204" i="5" a="1"/>
  <c r="I28" i="5" a="1"/>
  <c r="I295" i="5" a="1"/>
  <c r="I115" i="5" a="1"/>
  <c r="I107" i="5" a="1"/>
  <c r="I160" i="5" a="1"/>
  <c r="I339" i="5" a="1"/>
  <c r="I178" i="5" a="1"/>
  <c r="I209" i="5" a="1"/>
  <c r="I224" i="5" a="1"/>
  <c r="I123" i="5" a="1"/>
  <c r="I279" i="5" a="1"/>
  <c r="I360" i="5" a="1"/>
  <c r="I11" i="5" a="1"/>
  <c r="I196" i="5" a="1"/>
  <c r="I364" i="5" a="1"/>
  <c r="I143" i="5" a="1"/>
  <c r="I185" i="5" a="1"/>
  <c r="I206" i="5" a="1"/>
  <c r="I104" i="5" a="1"/>
  <c r="I306" i="5" a="1"/>
  <c r="I96" i="5" a="1"/>
  <c r="I292" i="5" a="1"/>
  <c r="I66" i="5" a="1"/>
  <c r="I73" i="5" a="1"/>
  <c r="I77" i="5" a="1"/>
  <c r="I91" i="5" a="1"/>
  <c r="I84" i="5" a="1"/>
  <c r="I102" i="5" a="1"/>
  <c r="I376" i="5" a="1"/>
  <c r="I287" i="5" a="1"/>
  <c r="I312" i="5" a="1"/>
  <c r="I353" i="5" a="1"/>
  <c r="I71" i="5" a="1"/>
  <c r="I106" i="5" a="1"/>
  <c r="I210" i="5" a="1"/>
  <c r="I62" i="5" a="1"/>
  <c r="I173" i="5" a="1"/>
  <c r="I301" i="5" a="1"/>
  <c r="I6" i="5" a="1"/>
  <c r="I64" i="5" a="1"/>
  <c r="I156" i="5" a="1"/>
  <c r="I189" i="5" a="1"/>
  <c r="I9" i="5" a="1"/>
  <c r="I297" i="5" a="1"/>
  <c r="I218" i="5" a="1"/>
  <c r="I60" i="5" a="1"/>
  <c r="I270" i="5" a="1"/>
  <c r="I105" i="5" a="1"/>
  <c r="I15" i="5" a="1"/>
  <c r="I193" i="5" a="1"/>
  <c r="I75" i="5" a="1"/>
  <c r="I46" i="5" a="1"/>
  <c r="I94" i="5" a="1"/>
  <c r="I50" i="5" a="1"/>
  <c r="I76" i="5" a="1"/>
  <c r="I103" i="5" a="1"/>
  <c r="I358" i="5" a="1"/>
  <c r="I265" i="5" a="1"/>
  <c r="I258" i="5" a="1"/>
  <c r="I294" i="5" a="1"/>
  <c r="I153" i="5" a="1"/>
  <c r="I36" i="5" a="1"/>
  <c r="I305" i="5" a="1"/>
  <c r="I383" i="5" a="1"/>
  <c r="I359" i="5" a="1"/>
  <c r="I124" i="5" a="1"/>
  <c r="I357" i="5" a="1"/>
  <c r="I122" i="5" a="1"/>
  <c r="I342" i="5" a="1"/>
  <c r="I235" i="5" a="1"/>
  <c r="I163" i="5" a="1"/>
  <c r="I35" i="5" a="1"/>
  <c r="I93" i="5" a="1"/>
  <c r="I373" i="5" a="1"/>
  <c r="I61" i="5" a="1"/>
  <c r="I138" i="5" a="1"/>
  <c r="I363" i="5" a="1"/>
  <c r="I192" i="5" a="1"/>
  <c r="I202" i="5" a="1"/>
  <c r="I7" i="5" a="1"/>
  <c r="I100" i="5" a="1"/>
  <c r="I263" i="5" a="1"/>
  <c r="I113" i="5" a="1"/>
  <c r="I24" i="5" a="1"/>
  <c r="I269" i="5" a="1"/>
  <c r="I338" i="5" a="1"/>
  <c r="I95" i="5" a="1"/>
  <c r="I169" i="5" a="1"/>
  <c r="I19" i="5" a="1"/>
  <c r="I277" i="5" a="1"/>
  <c r="I126" i="5" a="1"/>
  <c r="I23" i="5" a="1"/>
  <c r="I219" i="5" a="1"/>
  <c r="I231" i="5" a="1"/>
  <c r="I125" i="5" a="1"/>
  <c r="I382" i="5" a="1"/>
  <c r="I214" i="5" a="1"/>
  <c r="I249" i="5" a="1"/>
  <c r="I230" i="5" a="1"/>
  <c r="I296" i="5" a="1"/>
  <c r="I37" i="5" a="1"/>
  <c r="I298" i="5" a="1"/>
  <c r="I325" i="5" a="1"/>
  <c r="I208" i="5" a="1"/>
  <c r="I72" i="5" a="1"/>
  <c r="I281" i="5" a="1"/>
  <c r="I144" i="5" a="1"/>
  <c r="I315" i="5" a="1"/>
  <c r="I247" i="5" a="1"/>
  <c r="I355" i="5" a="1"/>
  <c r="I366" i="5" a="1"/>
  <c r="I282" i="5" a="1"/>
  <c r="I233" i="5" a="1"/>
  <c r="I278" i="5" a="1"/>
  <c r="I348" i="5" a="1"/>
  <c r="I101" i="5" a="1"/>
  <c r="I274" i="5" a="1"/>
  <c r="I186" i="5" a="1"/>
  <c r="I288" i="5" a="1"/>
  <c r="I45" i="5" a="1"/>
  <c r="I164" i="5" a="1"/>
  <c r="I384" i="5" a="1"/>
  <c r="I159" i="5" a="1"/>
  <c r="I381" i="5" a="1"/>
  <c r="I31" i="5" a="1"/>
  <c r="I17" i="5" a="1"/>
  <c r="I250" i="5" a="1"/>
  <c r="I158" i="5" a="1"/>
  <c r="I293" i="5" a="1"/>
  <c r="I234" i="5" a="1"/>
  <c r="I43" i="5" a="1"/>
  <c r="I63" i="5" a="1"/>
  <c r="I85" i="5" a="1"/>
  <c r="I370" i="5" a="1"/>
  <c r="I326" i="5" a="1"/>
  <c r="I155" i="5" a="1"/>
  <c r="I127" i="5" a="1"/>
  <c r="I129" i="5" a="1"/>
  <c r="I146" i="5" a="1"/>
  <c r="I264" i="5" a="1"/>
  <c r="I18" i="5" a="1"/>
  <c r="I323" i="5" a="1"/>
  <c r="I252" i="5" a="1"/>
  <c r="I52" i="5" a="1"/>
  <c r="I137" i="5" a="1"/>
  <c r="I69" i="5" a="1"/>
  <c r="I255" i="5" a="1"/>
  <c r="I365" i="5" a="1"/>
  <c r="I266" i="5" a="1"/>
  <c r="I57" i="5" a="1"/>
  <c r="I92" i="5" a="1"/>
  <c r="I119" i="5" a="1"/>
  <c r="I152" i="5" a="1"/>
  <c r="I141" i="5" a="1"/>
  <c r="I184" i="5" a="1"/>
  <c r="I316" i="5" a="1"/>
  <c r="I271" i="5" a="1"/>
  <c r="I304" i="5" a="1"/>
  <c r="I254" i="5" a="1"/>
  <c r="I336" i="5" a="1"/>
  <c r="I320" i="5" a="1"/>
  <c r="I108" i="5" a="1"/>
  <c r="I356" i="5" a="1"/>
  <c r="I68" i="5" a="1"/>
  <c r="I205" i="5" a="1"/>
  <c r="I81" i="5" a="1"/>
  <c r="I177" i="5" a="1"/>
  <c r="I114" i="5" a="1"/>
  <c r="I275" i="5" a="1"/>
  <c r="I327" i="5" a="1"/>
  <c r="I262" i="5" a="1"/>
  <c r="I239" i="5" a="1"/>
  <c r="I300" i="5" a="1"/>
  <c r="I240" i="5" a="1"/>
  <c r="I147" i="5" a="1"/>
  <c r="I349" i="5" a="1"/>
  <c r="I330" i="5" a="1"/>
  <c r="I203" i="5" a="1"/>
  <c r="I51" i="5" a="1"/>
  <c r="I47" i="5" a="1"/>
  <c r="I14" i="5" a="1"/>
  <c r="I88" i="5" a="1"/>
  <c r="I82" i="5" a="1"/>
  <c r="I215" i="5" a="1"/>
  <c r="I341" i="5" a="1"/>
  <c r="I337" i="5" a="1"/>
  <c r="I289" i="5" a="1"/>
  <c r="I302" i="5" a="1"/>
  <c r="I162" i="5" a="1"/>
  <c r="I182" i="5" a="1"/>
  <c r="I347" i="5" a="1"/>
  <c r="I385" i="5" a="1"/>
  <c r="I228" i="5" a="1"/>
  <c r="I369" i="5" a="1"/>
  <c r="I188" i="5" a="1"/>
  <c r="I378" i="5" a="1"/>
  <c r="I256" i="5" a="1"/>
  <c r="I221" i="5" a="1"/>
  <c r="I379" i="5" a="1"/>
  <c r="I267" i="5" a="1"/>
  <c r="I350" i="5" a="1"/>
  <c r="I283" i="5" a="1"/>
  <c r="I374" i="5" a="1"/>
  <c r="I285" i="5" a="1"/>
  <c r="I26" i="5" a="1"/>
  <c r="I65" i="5" a="1"/>
  <c r="I346" i="5" a="1"/>
  <c r="I343" i="5" a="1"/>
  <c r="I174" i="5" a="1"/>
  <c r="I58" i="5" a="1"/>
  <c r="I368" i="5" a="1"/>
  <c r="I199" i="5" a="1"/>
  <c r="I246" i="5" a="1"/>
  <c r="I248" i="5" a="1"/>
  <c r="I334" i="5" a="1"/>
  <c r="I371" i="5" a="1"/>
  <c r="I39" i="5" a="1"/>
  <c r="I321" i="5" a="1"/>
  <c r="I145" i="5" a="1"/>
  <c r="I89" i="5" a="1"/>
  <c r="I121" i="5" a="1"/>
  <c r="I179" i="5" a="1"/>
  <c r="I375" i="5" a="1"/>
  <c r="I8" i="5" a="1"/>
  <c r="I191" i="5" a="1"/>
  <c r="I268" i="5" a="1"/>
  <c r="I243" i="5" a="1"/>
  <c r="I242" i="5" a="1"/>
  <c r="I324" i="5" a="1"/>
  <c r="I286" i="5" a="1"/>
  <c r="I222" i="5" a="1"/>
  <c r="I211" i="5" a="1"/>
  <c r="I290" i="5" a="1"/>
  <c r="I168" i="5" a="1"/>
  <c r="I41" i="5" a="1"/>
  <c r="I319" i="5" a="1"/>
  <c r="I79" i="5" a="1"/>
  <c r="I223" i="5" a="1"/>
  <c r="I21" i="5" a="1"/>
  <c r="I161" i="5" a="1"/>
  <c r="I74" i="5" a="1"/>
  <c r="I331" i="5" a="1"/>
  <c r="I120" i="5" a="1"/>
  <c r="I154" i="5" a="1"/>
  <c r="I220" i="5" a="1"/>
  <c r="I181" i="5" a="1"/>
  <c r="I49" i="5" a="1"/>
  <c r="I136" i="5" a="1"/>
  <c r="I354" i="5" a="1"/>
  <c r="I83" i="5" a="1"/>
  <c r="I42" i="5" a="1"/>
  <c r="I13" i="5" a="1"/>
  <c r="I140" i="5" a="1"/>
  <c r="I328" i="5" a="1"/>
  <c r="I386" i="5" a="1"/>
  <c r="I20" i="5" a="1"/>
  <c r="I237" i="5" a="1"/>
  <c r="I133" i="5" a="1"/>
  <c r="I151" i="5" a="1"/>
  <c r="I236" i="5" a="1"/>
  <c r="I139" i="5" a="1"/>
  <c r="I307" i="5" a="1"/>
  <c r="I212" i="5" a="1"/>
  <c r="I70" i="5" a="1"/>
  <c r="I207" i="5" a="1"/>
  <c r="I16" i="5" a="1"/>
  <c r="I332" i="5" a="1"/>
  <c r="I245" i="5" a="1"/>
  <c r="E6" i="5" l="1"/>
  <c r="F6" i="5" s="1"/>
  <c r="E30" i="5"/>
  <c r="F30" i="5" s="1"/>
  <c r="E293" i="5"/>
  <c r="F293" i="5" s="1"/>
  <c r="E54" i="5"/>
  <c r="F54" i="5" s="1"/>
  <c r="E270" i="5"/>
  <c r="F270" i="5" s="1"/>
  <c r="E318" i="5"/>
  <c r="F318" i="5" s="1"/>
  <c r="E222" i="5"/>
  <c r="F222" i="5" s="1"/>
  <c r="E126" i="5"/>
  <c r="F126" i="5" s="1"/>
  <c r="E150" i="5"/>
  <c r="F150" i="5" s="1"/>
  <c r="E102" i="5"/>
  <c r="F102" i="5" s="1"/>
  <c r="E78" i="5"/>
  <c r="F78" i="5" s="1"/>
  <c r="E197" i="5"/>
  <c r="F197" i="5" s="1"/>
  <c r="E365" i="5"/>
  <c r="F365" i="5" s="1"/>
  <c r="E317" i="5"/>
  <c r="F317" i="5" s="1"/>
  <c r="E7" i="5"/>
  <c r="F7" i="5" s="1"/>
  <c r="E342" i="5"/>
  <c r="F342" i="5" s="1"/>
  <c r="E5" i="5"/>
  <c r="F5" i="5" s="1"/>
  <c r="E29" i="5"/>
  <c r="F29" i="5" s="1"/>
  <c r="G8" i="5"/>
  <c r="E174" i="5" l="1"/>
  <c r="F174" i="5" s="1"/>
  <c r="E198" i="5"/>
  <c r="F198" i="5" s="1"/>
  <c r="E246" i="5"/>
  <c r="F246" i="5" s="1"/>
  <c r="E366" i="5"/>
  <c r="F366" i="5" s="1"/>
  <c r="E173" i="5"/>
  <c r="F173" i="5" s="1"/>
  <c r="G9" i="5"/>
  <c r="E151" i="5" l="1"/>
  <c r="F151" i="5" s="1"/>
  <c r="H151" i="5"/>
  <c r="H271" i="5"/>
  <c r="E271" i="5"/>
  <c r="F271" i="5" s="1"/>
  <c r="H127" i="5"/>
  <c r="E127" i="5"/>
  <c r="F127" i="5" s="1"/>
  <c r="E31" i="5"/>
  <c r="F31" i="5" s="1"/>
  <c r="E103" i="5"/>
  <c r="F103" i="5" s="1"/>
  <c r="H103" i="5"/>
  <c r="E247" i="5"/>
  <c r="F247" i="5" s="1"/>
  <c r="H247" i="5"/>
  <c r="E199" i="5"/>
  <c r="F199" i="5" s="1"/>
  <c r="H199" i="5"/>
  <c r="E319" i="5"/>
  <c r="F319" i="5" s="1"/>
  <c r="E79" i="5"/>
  <c r="F79" i="5" s="1"/>
  <c r="H79" i="5"/>
  <c r="E367" i="5"/>
  <c r="F367" i="5" s="1"/>
  <c r="E294" i="5"/>
  <c r="F294" i="5" s="1"/>
  <c r="E223" i="5"/>
  <c r="F223" i="5" s="1"/>
  <c r="H223" i="5"/>
  <c r="E55" i="5"/>
  <c r="F55" i="5" s="1"/>
  <c r="E175" i="5"/>
  <c r="F175" i="5" s="1"/>
  <c r="H175" i="5"/>
  <c r="E343" i="5"/>
  <c r="F343" i="5" s="1"/>
  <c r="E8" i="5"/>
  <c r="F8" i="5" s="1"/>
  <c r="G10" i="5"/>
  <c r="E368" i="5" l="1"/>
  <c r="F368" i="5" s="1"/>
  <c r="H104" i="5"/>
  <c r="E104" i="5"/>
  <c r="F104" i="5" s="1"/>
  <c r="H176" i="5"/>
  <c r="E176" i="5"/>
  <c r="F176" i="5" s="1"/>
  <c r="H152" i="5"/>
  <c r="E152" i="5"/>
  <c r="F152" i="5" s="1"/>
  <c r="H272" i="5"/>
  <c r="E272" i="5"/>
  <c r="F272" i="5" s="1"/>
  <c r="E295" i="5"/>
  <c r="F295" i="5" s="1"/>
  <c r="H295" i="5"/>
  <c r="E320" i="5"/>
  <c r="F320" i="5" s="1"/>
  <c r="H248" i="5"/>
  <c r="E248" i="5"/>
  <c r="F248" i="5" s="1"/>
  <c r="H128" i="5"/>
  <c r="E128" i="5"/>
  <c r="F128" i="5" s="1"/>
  <c r="H80" i="5"/>
  <c r="E80" i="5"/>
  <c r="F80" i="5" s="1"/>
  <c r="H200" i="5"/>
  <c r="E200" i="5"/>
  <c r="F200" i="5" s="1"/>
  <c r="E344" i="5"/>
  <c r="F344" i="5" s="1"/>
  <c r="H224" i="5"/>
  <c r="E224" i="5"/>
  <c r="F224" i="5" s="1"/>
  <c r="E32" i="5"/>
  <c r="F32" i="5" s="1"/>
  <c r="E56" i="5"/>
  <c r="F56" i="5" s="1"/>
  <c r="E9" i="5"/>
  <c r="F9" i="5" s="1"/>
  <c r="G11" i="5"/>
  <c r="E249" i="5" l="1"/>
  <c r="F249" i="5" s="1"/>
  <c r="H249" i="5"/>
  <c r="H201" i="5"/>
  <c r="E201" i="5"/>
  <c r="F201" i="5" s="1"/>
  <c r="E369" i="5"/>
  <c r="F369" i="5" s="1"/>
  <c r="H225" i="5"/>
  <c r="E225" i="5"/>
  <c r="F225" i="5" s="1"/>
  <c r="H153" i="5"/>
  <c r="E153" i="5"/>
  <c r="F153" i="5" s="1"/>
  <c r="E321" i="5"/>
  <c r="F321" i="5" s="1"/>
  <c r="H105" i="5"/>
  <c r="E105" i="5"/>
  <c r="F105" i="5" s="1"/>
  <c r="E33" i="5"/>
  <c r="F33" i="5" s="1"/>
  <c r="E81" i="5"/>
  <c r="F81" i="5" s="1"/>
  <c r="H81" i="5"/>
  <c r="H129" i="5"/>
  <c r="E129" i="5"/>
  <c r="F129" i="5" s="1"/>
  <c r="H296" i="5"/>
  <c r="E296" i="5"/>
  <c r="F296" i="5" s="1"/>
  <c r="E57" i="5"/>
  <c r="F57" i="5" s="1"/>
  <c r="E345" i="5"/>
  <c r="F345" i="5" s="1"/>
  <c r="E177" i="5"/>
  <c r="F177" i="5" s="1"/>
  <c r="H177" i="5"/>
  <c r="E273" i="5"/>
  <c r="F273" i="5" s="1"/>
  <c r="H273" i="5"/>
  <c r="E10" i="5"/>
  <c r="F10" i="5" s="1"/>
  <c r="G12" i="5"/>
  <c r="E346" i="5" l="1"/>
  <c r="F346" i="5" s="1"/>
  <c r="H82" i="5"/>
  <c r="E82" i="5"/>
  <c r="F82" i="5" s="1"/>
  <c r="E34" i="5"/>
  <c r="F34" i="5" s="1"/>
  <c r="H178" i="5"/>
  <c r="E178" i="5"/>
  <c r="F178" i="5" s="1"/>
  <c r="E370" i="5"/>
  <c r="F370" i="5" s="1"/>
  <c r="E297" i="5"/>
  <c r="F297" i="5" s="1"/>
  <c r="H297" i="5"/>
  <c r="H106" i="5"/>
  <c r="E106" i="5"/>
  <c r="F106" i="5" s="1"/>
  <c r="E322" i="5"/>
  <c r="F322" i="5" s="1"/>
  <c r="E130" i="5"/>
  <c r="F130" i="5" s="1"/>
  <c r="H130" i="5"/>
  <c r="H226" i="5"/>
  <c r="E226" i="5"/>
  <c r="F226" i="5" s="1"/>
  <c r="E250" i="5"/>
  <c r="F250" i="5" s="1"/>
  <c r="H250" i="5"/>
  <c r="E58" i="5"/>
  <c r="F58" i="5" s="1"/>
  <c r="E154" i="5"/>
  <c r="F154" i="5" s="1"/>
  <c r="H154" i="5"/>
  <c r="H202" i="5"/>
  <c r="E202" i="5"/>
  <c r="F202" i="5" s="1"/>
  <c r="H274" i="5"/>
  <c r="E274" i="5"/>
  <c r="F274" i="5" s="1"/>
  <c r="E11" i="5"/>
  <c r="F11" i="5" s="1"/>
  <c r="G13" i="5"/>
  <c r="E275" i="5" l="1"/>
  <c r="F275" i="5" s="1"/>
  <c r="H275" i="5"/>
  <c r="E347" i="5"/>
  <c r="F347" i="5" s="1"/>
  <c r="E371" i="5"/>
  <c r="F371" i="5" s="1"/>
  <c r="H107" i="5"/>
  <c r="E107" i="5"/>
  <c r="F107" i="5" s="1"/>
  <c r="E35" i="5"/>
  <c r="F35" i="5" s="1"/>
  <c r="E203" i="5"/>
  <c r="F203" i="5" s="1"/>
  <c r="H203" i="5"/>
  <c r="H298" i="5"/>
  <c r="E298" i="5"/>
  <c r="F298" i="5" s="1"/>
  <c r="E323" i="5"/>
  <c r="F323" i="5" s="1"/>
  <c r="E155" i="5"/>
  <c r="F155" i="5" s="1"/>
  <c r="H155" i="5"/>
  <c r="E83" i="5"/>
  <c r="F83" i="5" s="1"/>
  <c r="H83" i="5"/>
  <c r="E179" i="5"/>
  <c r="F179" i="5" s="1"/>
  <c r="H179" i="5"/>
  <c r="E59" i="5"/>
  <c r="F59" i="5" s="1"/>
  <c r="E131" i="5"/>
  <c r="F131" i="5" s="1"/>
  <c r="H131" i="5"/>
  <c r="H251" i="5"/>
  <c r="E251" i="5"/>
  <c r="F251" i="5" s="1"/>
  <c r="E227" i="5"/>
  <c r="F227" i="5" s="1"/>
  <c r="H227" i="5"/>
  <c r="E12" i="5"/>
  <c r="F12" i="5" s="1"/>
  <c r="G14" i="5"/>
  <c r="G15" i="5"/>
  <c r="H276" i="5" l="1"/>
  <c r="E276" i="5"/>
  <c r="F276" i="5" s="1"/>
  <c r="H228" i="5"/>
  <c r="E228" i="5"/>
  <c r="F228" i="5" s="1"/>
  <c r="H180" i="5"/>
  <c r="E180" i="5"/>
  <c r="F180" i="5" s="1"/>
  <c r="H252" i="5"/>
  <c r="E252" i="5"/>
  <c r="F252" i="5" s="1"/>
  <c r="H132" i="5"/>
  <c r="E132" i="5"/>
  <c r="F132" i="5" s="1"/>
  <c r="H156" i="5"/>
  <c r="E156" i="5"/>
  <c r="F156" i="5" s="1"/>
  <c r="E324" i="5"/>
  <c r="F324" i="5" s="1"/>
  <c r="E36" i="5"/>
  <c r="F36" i="5" s="1"/>
  <c r="E299" i="5"/>
  <c r="F299" i="5" s="1"/>
  <c r="H299" i="5"/>
  <c r="H108" i="5"/>
  <c r="E108" i="5"/>
  <c r="F108" i="5" s="1"/>
  <c r="E60" i="5"/>
  <c r="F60" i="5" s="1"/>
  <c r="H204" i="5"/>
  <c r="E204" i="5"/>
  <c r="F204" i="5" s="1"/>
  <c r="H84" i="5"/>
  <c r="E84" i="5"/>
  <c r="F84" i="5" s="1"/>
  <c r="E348" i="5"/>
  <c r="F348" i="5" s="1"/>
  <c r="E372" i="5"/>
  <c r="F372" i="5" s="1"/>
  <c r="E13" i="5"/>
  <c r="F13" i="5" s="1"/>
  <c r="H109" i="5" l="1"/>
  <c r="E109" i="5"/>
  <c r="F109" i="5" s="1"/>
  <c r="E85" i="5"/>
  <c r="F85" i="5" s="1"/>
  <c r="H85" i="5"/>
  <c r="E325" i="5"/>
  <c r="F325" i="5" s="1"/>
  <c r="E133" i="5"/>
  <c r="F133" i="5" s="1"/>
  <c r="H133" i="5"/>
  <c r="E253" i="5"/>
  <c r="F253" i="5" s="1"/>
  <c r="H253" i="5"/>
  <c r="H300" i="5"/>
  <c r="E300" i="5"/>
  <c r="F300" i="5" s="1"/>
  <c r="E157" i="5"/>
  <c r="F157" i="5" s="1"/>
  <c r="H157" i="5"/>
  <c r="E229" i="5"/>
  <c r="F229" i="5" s="1"/>
  <c r="H229" i="5"/>
  <c r="E37" i="5"/>
  <c r="F37" i="5" s="1"/>
  <c r="E373" i="5"/>
  <c r="F373" i="5" s="1"/>
  <c r="E349" i="5"/>
  <c r="F349" i="5" s="1"/>
  <c r="E181" i="5"/>
  <c r="F181" i="5" s="1"/>
  <c r="H181" i="5"/>
  <c r="E277" i="5"/>
  <c r="F277" i="5" s="1"/>
  <c r="H277" i="5"/>
  <c r="E61" i="5"/>
  <c r="F61" i="5" s="1"/>
  <c r="H205" i="5"/>
  <c r="E205" i="5"/>
  <c r="F205" i="5" s="1"/>
  <c r="E14" i="5"/>
  <c r="F14" i="5" s="1"/>
  <c r="H301" i="5" l="1"/>
  <c r="E301" i="5"/>
  <c r="F301" i="5" s="1"/>
  <c r="E134" i="5"/>
  <c r="F134" i="5" s="1"/>
  <c r="H134" i="5"/>
  <c r="E206" i="5"/>
  <c r="F206" i="5" s="1"/>
  <c r="H206" i="5"/>
  <c r="E38" i="5"/>
  <c r="F38" i="5" s="1"/>
  <c r="E158" i="5"/>
  <c r="F158" i="5" s="1"/>
  <c r="H158" i="5"/>
  <c r="E326" i="5"/>
  <c r="F326" i="5" s="1"/>
  <c r="H86" i="5"/>
  <c r="E86" i="5"/>
  <c r="F86" i="5" s="1"/>
  <c r="H230" i="5"/>
  <c r="E230" i="5"/>
  <c r="F230" i="5" s="1"/>
  <c r="E62" i="5"/>
  <c r="F62" i="5" s="1"/>
  <c r="E254" i="5"/>
  <c r="F254" i="5" s="1"/>
  <c r="H254" i="5"/>
  <c r="E278" i="5"/>
  <c r="F278" i="5" s="1"/>
  <c r="H278" i="5"/>
  <c r="H110" i="5"/>
  <c r="E110" i="5"/>
  <c r="F110" i="5" s="1"/>
  <c r="E182" i="5"/>
  <c r="F182" i="5" s="1"/>
  <c r="H182" i="5"/>
  <c r="E374" i="5"/>
  <c r="F374" i="5" s="1"/>
  <c r="E350" i="5"/>
  <c r="F350" i="5" s="1"/>
  <c r="E15" i="5"/>
  <c r="F15" i="5" s="1"/>
  <c r="E255" i="5" l="1"/>
  <c r="F255" i="5" s="1"/>
  <c r="H255" i="5"/>
  <c r="E327" i="5"/>
  <c r="F327" i="5" s="1"/>
  <c r="E159" i="5"/>
  <c r="F159" i="5" s="1"/>
  <c r="H159" i="5"/>
  <c r="E351" i="5"/>
  <c r="F351" i="5" s="1"/>
  <c r="E207" i="5"/>
  <c r="F207" i="5" s="1"/>
  <c r="H207" i="5"/>
  <c r="H111" i="5"/>
  <c r="E111" i="5"/>
  <c r="F111" i="5" s="1"/>
  <c r="E231" i="5"/>
  <c r="F231" i="5" s="1"/>
  <c r="H231" i="5"/>
  <c r="E39" i="5"/>
  <c r="F39" i="5" s="1"/>
  <c r="E63" i="5"/>
  <c r="F63" i="5" s="1"/>
  <c r="H302" i="5"/>
  <c r="E302" i="5"/>
  <c r="F302" i="5" s="1"/>
  <c r="E375" i="5"/>
  <c r="F375" i="5" s="1"/>
  <c r="E183" i="5"/>
  <c r="F183" i="5" s="1"/>
  <c r="H183" i="5"/>
  <c r="E87" i="5"/>
  <c r="F87" i="5" s="1"/>
  <c r="H87" i="5"/>
  <c r="E279" i="5"/>
  <c r="F279" i="5" s="1"/>
  <c r="H279" i="5"/>
  <c r="E135" i="5"/>
  <c r="F135" i="5" s="1"/>
  <c r="H135" i="5"/>
  <c r="E16" i="5"/>
  <c r="F16" i="5" s="1"/>
  <c r="E352" i="5" l="1"/>
  <c r="F352" i="5" s="1"/>
  <c r="E376" i="5"/>
  <c r="F376" i="5" s="1"/>
  <c r="E40" i="5"/>
  <c r="F40" i="5" s="1"/>
  <c r="H280" i="5"/>
  <c r="E280" i="5"/>
  <c r="F280" i="5" s="1"/>
  <c r="E64" i="5"/>
  <c r="F64" i="5" s="1"/>
  <c r="H256" i="5"/>
  <c r="E256" i="5"/>
  <c r="F256" i="5" s="1"/>
  <c r="H232" i="5"/>
  <c r="E232" i="5"/>
  <c r="F232" i="5" s="1"/>
  <c r="E303" i="5"/>
  <c r="F303" i="5" s="1"/>
  <c r="H303" i="5"/>
  <c r="H136" i="5"/>
  <c r="E136" i="5"/>
  <c r="F136" i="5" s="1"/>
  <c r="H112" i="5"/>
  <c r="E112" i="5"/>
  <c r="F112" i="5" s="1"/>
  <c r="H208" i="5"/>
  <c r="E208" i="5"/>
  <c r="F208" i="5" s="1"/>
  <c r="H160" i="5"/>
  <c r="E160" i="5"/>
  <c r="F160" i="5" s="1"/>
  <c r="E328" i="5"/>
  <c r="F328" i="5" s="1"/>
  <c r="H88" i="5"/>
  <c r="E88" i="5"/>
  <c r="F88" i="5" s="1"/>
  <c r="H184" i="5"/>
  <c r="E184" i="5"/>
  <c r="F184" i="5" s="1"/>
  <c r="E17" i="5"/>
  <c r="F17" i="5" s="1"/>
  <c r="E257" i="5" l="1"/>
  <c r="F257" i="5" s="1"/>
  <c r="H257" i="5"/>
  <c r="H281" i="5"/>
  <c r="E281" i="5"/>
  <c r="F281" i="5" s="1"/>
  <c r="H304" i="5"/>
  <c r="E304" i="5"/>
  <c r="F304" i="5" s="1"/>
  <c r="H137" i="5"/>
  <c r="E137" i="5"/>
  <c r="F137" i="5" s="1"/>
  <c r="E353" i="5"/>
  <c r="F353" i="5" s="1"/>
  <c r="E41" i="5"/>
  <c r="F41" i="5" s="1"/>
  <c r="E113" i="5"/>
  <c r="F113" i="5" s="1"/>
  <c r="H113" i="5"/>
  <c r="E209" i="5"/>
  <c r="F209" i="5" s="1"/>
  <c r="H209" i="5"/>
  <c r="E329" i="5"/>
  <c r="F329" i="5" s="1"/>
  <c r="H233" i="5"/>
  <c r="E233" i="5"/>
  <c r="F233" i="5" s="1"/>
  <c r="E65" i="5"/>
  <c r="F65" i="5" s="1"/>
  <c r="E161" i="5"/>
  <c r="F161" i="5" s="1"/>
  <c r="H161" i="5"/>
  <c r="H185" i="5"/>
  <c r="E185" i="5"/>
  <c r="F185" i="5" s="1"/>
  <c r="H89" i="5"/>
  <c r="E89" i="5"/>
  <c r="F89" i="5" s="1"/>
  <c r="E377" i="5"/>
  <c r="F377" i="5" s="1"/>
  <c r="E18" i="5"/>
  <c r="F18" i="5" s="1"/>
  <c r="E282" i="5" l="1"/>
  <c r="F282" i="5" s="1"/>
  <c r="H282" i="5"/>
  <c r="H210" i="5"/>
  <c r="E210" i="5"/>
  <c r="F210" i="5" s="1"/>
  <c r="H162" i="5"/>
  <c r="E162" i="5"/>
  <c r="F162" i="5" s="1"/>
  <c r="E234" i="5"/>
  <c r="F234" i="5" s="1"/>
  <c r="H234" i="5"/>
  <c r="H114" i="5"/>
  <c r="E114" i="5"/>
  <c r="F114" i="5" s="1"/>
  <c r="H90" i="5"/>
  <c r="E90" i="5"/>
  <c r="F90" i="5" s="1"/>
  <c r="H138" i="5"/>
  <c r="E138" i="5"/>
  <c r="F138" i="5" s="1"/>
  <c r="E354" i="5"/>
  <c r="F354" i="5" s="1"/>
  <c r="E186" i="5"/>
  <c r="F186" i="5" s="1"/>
  <c r="H186" i="5"/>
  <c r="E42" i="5"/>
  <c r="F42" i="5" s="1"/>
  <c r="E66" i="5"/>
  <c r="F66" i="5" s="1"/>
  <c r="E305" i="5"/>
  <c r="F305" i="5" s="1"/>
  <c r="H305" i="5"/>
  <c r="E378" i="5"/>
  <c r="F378" i="5" s="1"/>
  <c r="E330" i="5"/>
  <c r="F330" i="5" s="1"/>
  <c r="E258" i="5"/>
  <c r="F258" i="5" s="1"/>
  <c r="H258" i="5"/>
  <c r="E19" i="5"/>
  <c r="F19" i="5" s="1"/>
  <c r="E21" i="5"/>
  <c r="F21" i="5" s="1"/>
  <c r="E355" i="5" l="1"/>
  <c r="F355" i="5" s="1"/>
  <c r="E165" i="5"/>
  <c r="F165" i="5" s="1"/>
  <c r="H165" i="5"/>
  <c r="E117" i="5"/>
  <c r="F117" i="5" s="1"/>
  <c r="H117" i="5"/>
  <c r="H115" i="5"/>
  <c r="E115" i="5"/>
  <c r="F115" i="5" s="1"/>
  <c r="E283" i="5"/>
  <c r="F283" i="5" s="1"/>
  <c r="H283" i="5"/>
  <c r="E381" i="5"/>
  <c r="F381" i="5" s="1"/>
  <c r="E261" i="5"/>
  <c r="F261" i="5" s="1"/>
  <c r="H261" i="5"/>
  <c r="H306" i="5"/>
  <c r="E306" i="5"/>
  <c r="F306" i="5" s="1"/>
  <c r="E141" i="5"/>
  <c r="F141" i="5" s="1"/>
  <c r="H141" i="5"/>
  <c r="E43" i="5"/>
  <c r="F43" i="5" s="1"/>
  <c r="E357" i="5"/>
  <c r="F357" i="5" s="1"/>
  <c r="E235" i="5"/>
  <c r="F235" i="5" s="1"/>
  <c r="H235" i="5"/>
  <c r="E285" i="5"/>
  <c r="F285" i="5" s="1"/>
  <c r="H285" i="5"/>
  <c r="E331" i="5"/>
  <c r="F331" i="5" s="1"/>
  <c r="H91" i="5"/>
  <c r="E91" i="5"/>
  <c r="F91" i="5" s="1"/>
  <c r="E187" i="5"/>
  <c r="F187" i="5" s="1"/>
  <c r="H187" i="5"/>
  <c r="E189" i="5"/>
  <c r="F189" i="5" s="1"/>
  <c r="H189" i="5"/>
  <c r="E67" i="5"/>
  <c r="F67" i="5" s="1"/>
  <c r="E69" i="5"/>
  <c r="F69" i="5" s="1"/>
  <c r="E379" i="5"/>
  <c r="F379" i="5" s="1"/>
  <c r="E259" i="5"/>
  <c r="F259" i="5" s="1"/>
  <c r="H259" i="5"/>
  <c r="E211" i="5"/>
  <c r="F211" i="5" s="1"/>
  <c r="H211" i="5"/>
  <c r="H163" i="5"/>
  <c r="E163" i="5"/>
  <c r="F163" i="5" s="1"/>
  <c r="E237" i="5"/>
  <c r="F237" i="5" s="1"/>
  <c r="H237" i="5"/>
  <c r="E45" i="5"/>
  <c r="F45" i="5" s="1"/>
  <c r="H139" i="5"/>
  <c r="E139" i="5"/>
  <c r="F139" i="5" s="1"/>
  <c r="E213" i="5"/>
  <c r="F213" i="5" s="1"/>
  <c r="H213" i="5"/>
  <c r="E333" i="5"/>
  <c r="F333" i="5" s="1"/>
  <c r="E93" i="5"/>
  <c r="F93" i="5" s="1"/>
  <c r="H93" i="5"/>
  <c r="E20" i="5"/>
  <c r="F20" i="5" s="1"/>
  <c r="H116" i="5" l="1"/>
  <c r="E116" i="5"/>
  <c r="F116" i="5" s="1"/>
  <c r="H140" i="5"/>
  <c r="E140" i="5"/>
  <c r="F140" i="5" s="1"/>
  <c r="H212" i="5"/>
  <c r="E212" i="5"/>
  <c r="F212" i="5" s="1"/>
  <c r="E356" i="5"/>
  <c r="F356" i="5" s="1"/>
  <c r="E307" i="5"/>
  <c r="F307" i="5" s="1"/>
  <c r="H307" i="5"/>
  <c r="E309" i="5"/>
  <c r="F309" i="5" s="1"/>
  <c r="H309" i="5"/>
  <c r="H284" i="5"/>
  <c r="E284" i="5"/>
  <c r="F284" i="5" s="1"/>
  <c r="H164" i="5"/>
  <c r="E164" i="5"/>
  <c r="F164" i="5" s="1"/>
  <c r="E380" i="5"/>
  <c r="F380" i="5" s="1"/>
  <c r="H236" i="5"/>
  <c r="E236" i="5"/>
  <c r="F236" i="5" s="1"/>
  <c r="H92" i="5"/>
  <c r="E92" i="5"/>
  <c r="F92" i="5" s="1"/>
  <c r="E332" i="5"/>
  <c r="F332" i="5" s="1"/>
  <c r="H188" i="5"/>
  <c r="E188" i="5"/>
  <c r="F188" i="5" s="1"/>
  <c r="H260" i="5"/>
  <c r="E260" i="5"/>
  <c r="F260" i="5" s="1"/>
  <c r="E44" i="5"/>
  <c r="F44" i="5" s="1"/>
  <c r="E68" i="5"/>
  <c r="F68" i="5" s="1"/>
  <c r="E22" i="5"/>
  <c r="F22" i="5" s="1"/>
  <c r="E334" i="5" l="1"/>
  <c r="F334" i="5" s="1"/>
  <c r="E46" i="5"/>
  <c r="F46" i="5" s="1"/>
  <c r="H142" i="5"/>
  <c r="E142" i="5"/>
  <c r="F142" i="5" s="1"/>
  <c r="H308" i="5"/>
  <c r="E308" i="5"/>
  <c r="F308" i="5" s="1"/>
  <c r="E166" i="5"/>
  <c r="F166" i="5" s="1"/>
  <c r="H166" i="5"/>
  <c r="H118" i="5"/>
  <c r="E118" i="5"/>
  <c r="F118" i="5" s="1"/>
  <c r="E286" i="5"/>
  <c r="F286" i="5" s="1"/>
  <c r="H286" i="5"/>
  <c r="E358" i="5"/>
  <c r="F358" i="5" s="1"/>
  <c r="H214" i="5"/>
  <c r="E214" i="5"/>
  <c r="F214" i="5" s="1"/>
  <c r="E238" i="5"/>
  <c r="F238" i="5" s="1"/>
  <c r="H238" i="5"/>
  <c r="E70" i="5"/>
  <c r="F70" i="5" s="1"/>
  <c r="E382" i="5"/>
  <c r="F382" i="5" s="1"/>
  <c r="E190" i="5"/>
  <c r="F190" i="5" s="1"/>
  <c r="H190" i="5"/>
  <c r="H262" i="5"/>
  <c r="E262" i="5"/>
  <c r="F262" i="5" s="1"/>
  <c r="E94" i="5"/>
  <c r="F94" i="5" s="1"/>
  <c r="H94" i="5"/>
  <c r="E23" i="5"/>
  <c r="F23" i="5" s="1"/>
  <c r="E191" i="5" l="1"/>
  <c r="F191" i="5" s="1"/>
  <c r="H191" i="5"/>
  <c r="E119" i="5"/>
  <c r="F119" i="5" s="1"/>
  <c r="H119" i="5"/>
  <c r="E287" i="5"/>
  <c r="F287" i="5" s="1"/>
  <c r="H287" i="5"/>
  <c r="E263" i="5"/>
  <c r="F263" i="5" s="1"/>
  <c r="H263" i="5"/>
  <c r="H239" i="5"/>
  <c r="E239" i="5"/>
  <c r="F239" i="5" s="1"/>
  <c r="E310" i="5"/>
  <c r="F310" i="5" s="1"/>
  <c r="H310" i="5"/>
  <c r="E359" i="5"/>
  <c r="F359" i="5" s="1"/>
  <c r="E47" i="5"/>
  <c r="F47" i="5" s="1"/>
  <c r="E383" i="5"/>
  <c r="F383" i="5" s="1"/>
  <c r="E71" i="5"/>
  <c r="F71" i="5" s="1"/>
  <c r="H143" i="5"/>
  <c r="E143" i="5"/>
  <c r="F143" i="5" s="1"/>
  <c r="H215" i="5"/>
  <c r="E215" i="5"/>
  <c r="F215" i="5" s="1"/>
  <c r="E335" i="5"/>
  <c r="F335" i="5" s="1"/>
  <c r="E95" i="5"/>
  <c r="F95" i="5" s="1"/>
  <c r="H95" i="5"/>
  <c r="E167" i="5"/>
  <c r="F167" i="5" s="1"/>
  <c r="H167" i="5"/>
  <c r="E24" i="5"/>
  <c r="F24" i="5" s="1"/>
  <c r="H192" i="5" l="1"/>
  <c r="E192" i="5"/>
  <c r="F192" i="5" s="1"/>
  <c r="E336" i="5"/>
  <c r="F336" i="5" s="1"/>
  <c r="E72" i="5"/>
  <c r="F72" i="5" s="1"/>
  <c r="H144" i="5"/>
  <c r="E144" i="5"/>
  <c r="F144" i="5" s="1"/>
  <c r="H120" i="5"/>
  <c r="E120" i="5"/>
  <c r="F120" i="5" s="1"/>
  <c r="H168" i="5"/>
  <c r="E168" i="5"/>
  <c r="F168" i="5" s="1"/>
  <c r="H96" i="5"/>
  <c r="E96" i="5"/>
  <c r="F96" i="5" s="1"/>
  <c r="H288" i="5"/>
  <c r="E288" i="5"/>
  <c r="F288" i="5" s="1"/>
  <c r="E360" i="5"/>
  <c r="F360" i="5" s="1"/>
  <c r="H216" i="5"/>
  <c r="E216" i="5"/>
  <c r="F216" i="5" s="1"/>
  <c r="E384" i="5"/>
  <c r="F384" i="5" s="1"/>
  <c r="E48" i="5"/>
  <c r="F48" i="5" s="1"/>
  <c r="E311" i="5"/>
  <c r="F311" i="5" s="1"/>
  <c r="H311" i="5"/>
  <c r="H240" i="5"/>
  <c r="E240" i="5"/>
  <c r="F240" i="5" s="1"/>
  <c r="H264" i="5"/>
  <c r="E264" i="5"/>
  <c r="F264" i="5" s="1"/>
  <c r="E25" i="5"/>
  <c r="F25" i="5" s="1"/>
  <c r="H169" i="5" l="1"/>
  <c r="E169" i="5"/>
  <c r="F169" i="5" s="1"/>
  <c r="E289" i="5"/>
  <c r="F289" i="5" s="1"/>
  <c r="H289" i="5"/>
  <c r="E361" i="5"/>
  <c r="F361" i="5" s="1"/>
  <c r="H312" i="5"/>
  <c r="E312" i="5"/>
  <c r="F312" i="5" s="1"/>
  <c r="E241" i="5"/>
  <c r="F241" i="5" s="1"/>
  <c r="H241" i="5"/>
  <c r="E97" i="5"/>
  <c r="F97" i="5" s="1"/>
  <c r="H97" i="5"/>
  <c r="E337" i="5"/>
  <c r="F337" i="5" s="1"/>
  <c r="E385" i="5"/>
  <c r="F385" i="5" s="1"/>
  <c r="E193" i="5"/>
  <c r="F193" i="5" s="1"/>
  <c r="H193" i="5"/>
  <c r="H217" i="5"/>
  <c r="E217" i="5"/>
  <c r="F217" i="5" s="1"/>
  <c r="E49" i="5"/>
  <c r="F49" i="5" s="1"/>
  <c r="E145" i="5"/>
  <c r="F145" i="5" s="1"/>
  <c r="H145" i="5"/>
  <c r="H121" i="5"/>
  <c r="E121" i="5"/>
  <c r="F121" i="5" s="1"/>
  <c r="H265" i="5"/>
  <c r="E265" i="5"/>
  <c r="F265" i="5" s="1"/>
  <c r="E73" i="5"/>
  <c r="F73" i="5" s="1"/>
  <c r="E26" i="5"/>
  <c r="F26" i="5" s="1"/>
  <c r="E122" i="5" l="1"/>
  <c r="F122" i="5" s="1"/>
  <c r="H122" i="5"/>
  <c r="E50" i="5"/>
  <c r="F50" i="5" s="1"/>
  <c r="H218" i="5"/>
  <c r="E218" i="5"/>
  <c r="F218" i="5" s="1"/>
  <c r="E386" i="5"/>
  <c r="F386" i="5" s="1"/>
  <c r="H194" i="5"/>
  <c r="E194" i="5"/>
  <c r="F194" i="5" s="1"/>
  <c r="E362" i="5"/>
  <c r="F362" i="5" s="1"/>
  <c r="E74" i="5"/>
  <c r="F74" i="5" s="1"/>
  <c r="E146" i="5"/>
  <c r="F146" i="5" s="1"/>
  <c r="H146" i="5"/>
  <c r="H170" i="5"/>
  <c r="E170" i="5"/>
  <c r="F170" i="5" s="1"/>
  <c r="H266" i="5"/>
  <c r="E266" i="5"/>
  <c r="F266" i="5" s="1"/>
  <c r="H290" i="5"/>
  <c r="E290" i="5"/>
  <c r="F290" i="5" s="1"/>
  <c r="H242" i="5"/>
  <c r="E242" i="5"/>
  <c r="F242" i="5" s="1"/>
  <c r="E338" i="5"/>
  <c r="F338" i="5" s="1"/>
  <c r="H98" i="5"/>
  <c r="E98" i="5"/>
  <c r="F98" i="5" s="1"/>
  <c r="H313" i="5"/>
  <c r="E313" i="5"/>
  <c r="F313" i="5" s="1"/>
  <c r="E27" i="5"/>
  <c r="F27" i="5" s="1"/>
  <c r="E99" i="5" l="1"/>
  <c r="F99" i="5" s="1"/>
  <c r="H99" i="5"/>
  <c r="H267" i="5"/>
  <c r="E267" i="5"/>
  <c r="F267" i="5" s="1"/>
  <c r="E387" i="5"/>
  <c r="F387" i="5" s="1"/>
  <c r="H195" i="5"/>
  <c r="E195" i="5"/>
  <c r="F195" i="5" s="1"/>
  <c r="H147" i="5"/>
  <c r="E147" i="5"/>
  <c r="F147" i="5" s="1"/>
  <c r="H219" i="5"/>
  <c r="E219" i="5"/>
  <c r="F219" i="5" s="1"/>
  <c r="E75" i="5"/>
  <c r="F75" i="5" s="1"/>
  <c r="H291" i="5"/>
  <c r="E291" i="5"/>
  <c r="F291" i="5" s="1"/>
  <c r="E243" i="5"/>
  <c r="F243" i="5" s="1"/>
  <c r="H243" i="5"/>
  <c r="E51" i="5"/>
  <c r="F51" i="5" s="1"/>
  <c r="E314" i="5"/>
  <c r="F314" i="5" s="1"/>
  <c r="H314" i="5"/>
  <c r="E171" i="5"/>
  <c r="F171" i="5" s="1"/>
  <c r="H171" i="5"/>
  <c r="E339" i="5"/>
  <c r="F339" i="5" s="1"/>
  <c r="E123" i="5"/>
  <c r="F123" i="5" s="1"/>
  <c r="H123" i="5"/>
  <c r="E363" i="5"/>
  <c r="F363" i="5" s="1"/>
  <c r="E28" i="5"/>
  <c r="F28" i="5" s="1"/>
  <c r="H315" i="5" l="1"/>
  <c r="E315" i="5"/>
  <c r="F315" i="5" s="1"/>
  <c r="E76" i="5"/>
  <c r="F76" i="5" s="1"/>
  <c r="E340" i="5"/>
  <c r="F340" i="5" s="1"/>
  <c r="H100" i="5"/>
  <c r="E100" i="5"/>
  <c r="F100" i="5" s="1"/>
  <c r="H124" i="5"/>
  <c r="E124" i="5"/>
  <c r="F124" i="5" s="1"/>
  <c r="E388" i="5"/>
  <c r="F388" i="5" s="1"/>
  <c r="E52" i="5"/>
  <c r="F52" i="5" s="1"/>
  <c r="H172" i="5"/>
  <c r="E172" i="5"/>
  <c r="F172" i="5" s="1"/>
  <c r="E364" i="5"/>
  <c r="F364" i="5" s="1"/>
  <c r="H268" i="5"/>
  <c r="E268" i="5"/>
  <c r="F268" i="5" s="1"/>
  <c r="H244" i="5"/>
  <c r="E244" i="5"/>
  <c r="F244" i="5" s="1"/>
  <c r="H292" i="5"/>
  <c r="E292" i="5"/>
  <c r="F292" i="5" s="1"/>
  <c r="H148" i="5"/>
  <c r="E148" i="5"/>
  <c r="F148" i="5" s="1"/>
  <c r="H220" i="5"/>
  <c r="E220" i="5"/>
  <c r="F220" i="5" s="1"/>
  <c r="H196" i="5"/>
  <c r="E196" i="5"/>
  <c r="F196" i="5" s="1"/>
  <c r="H316" i="5" l="1"/>
  <c r="E316" i="5"/>
  <c r="F31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<sst xmlns="http://schemas.openxmlformats.org/spreadsheetml/2006/main" count="1448" uniqueCount="452">
  <si>
    <t>Date (DD/MM/YY):</t>
  </si>
  <si>
    <t/>
  </si>
  <si>
    <t>q1:</t>
  </si>
  <si>
    <t>q3:</t>
  </si>
  <si>
    <t>Description:</t>
  </si>
  <si>
    <t>q2:</t>
  </si>
  <si>
    <t>q4:</t>
  </si>
  <si>
    <t>Sample type:</t>
  </si>
  <si>
    <t>Well</t>
  </si>
  <si>
    <t>Row</t>
  </si>
  <si>
    <t>Column</t>
  </si>
  <si>
    <t>Code</t>
  </si>
  <si>
    <t>Fraction</t>
  </si>
  <si>
    <t>Treatment</t>
  </si>
  <si>
    <t>Concentration</t>
  </si>
  <si>
    <t>Units</t>
  </si>
  <si>
    <t>KCFL_Plate</t>
  </si>
  <si>
    <t>KCFL_Well</t>
  </si>
  <si>
    <t>Merge_Image</t>
  </si>
  <si>
    <t>A01</t>
  </si>
  <si>
    <t>A</t>
  </si>
  <si>
    <t>01</t>
  </si>
  <si>
    <t>%</t>
  </si>
  <si>
    <t>A02</t>
  </si>
  <si>
    <t>02</t>
  </si>
  <si>
    <t>A03</t>
  </si>
  <si>
    <t>03</t>
  </si>
  <si>
    <t>A04</t>
  </si>
  <si>
    <t>04</t>
  </si>
  <si>
    <t>A05</t>
  </si>
  <si>
    <t>05</t>
  </si>
  <si>
    <t>A06</t>
  </si>
  <si>
    <t>06</t>
  </si>
  <si>
    <t>A07</t>
  </si>
  <si>
    <t>07</t>
  </si>
  <si>
    <t>A08</t>
  </si>
  <si>
    <t>08</t>
  </si>
  <si>
    <t>A09</t>
  </si>
  <si>
    <t>09</t>
  </si>
  <si>
    <t>A10</t>
  </si>
  <si>
    <t>10</t>
  </si>
  <si>
    <t>A11</t>
  </si>
  <si>
    <t>11</t>
  </si>
  <si>
    <t>A12</t>
  </si>
  <si>
    <t>12</t>
  </si>
  <si>
    <t>A13</t>
  </si>
  <si>
    <t>13</t>
  </si>
  <si>
    <t>A14</t>
  </si>
  <si>
    <t>14</t>
  </si>
  <si>
    <t>A15</t>
  </si>
  <si>
    <t>15</t>
  </si>
  <si>
    <t>A16</t>
  </si>
  <si>
    <t>16</t>
  </si>
  <si>
    <t>A17</t>
  </si>
  <si>
    <t>17</t>
  </si>
  <si>
    <t>A18</t>
  </si>
  <si>
    <t>18</t>
  </si>
  <si>
    <t>A19</t>
  </si>
  <si>
    <t>19</t>
  </si>
  <si>
    <t>A20</t>
  </si>
  <si>
    <t>20</t>
  </si>
  <si>
    <t>A21</t>
  </si>
  <si>
    <t>21</t>
  </si>
  <si>
    <t>A22</t>
  </si>
  <si>
    <t>22</t>
  </si>
  <si>
    <t>A23</t>
  </si>
  <si>
    <t>23</t>
  </si>
  <si>
    <t>A24</t>
  </si>
  <si>
    <t>24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</si>
  <si>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</si>
  <si>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</si>
  <si>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</si>
  <si>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</si>
  <si>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</si>
  <si>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</si>
  <si>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</si>
  <si>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</si>
  <si>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</si>
  <si>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</si>
  <si>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</si>
  <si>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</si>
  <si>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</si>
  <si>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</si>
  <si>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</si>
  <si>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</si>
  <si>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</si>
  <si>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</si>
  <si>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</si>
  <si>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</si>
  <si>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</si>
  <si>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</si>
  <si>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</si>
  <si>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</si>
  <si>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</si>
  <si>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</si>
  <si>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</si>
  <si>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</si>
  <si>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</si>
  <si>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</si>
  <si>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</si>
  <si>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</si>
  <si>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</si>
  <si>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</si>
  <si>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</si>
  <si>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</si>
  <si>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</si>
  <si>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</si>
  <si>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</si>
  <si>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</si>
  <si>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</si>
  <si>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</si>
  <si>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</si>
  <si>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</si>
  <si>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</si>
  <si>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</si>
  <si>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</si>
  <si>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</si>
  <si>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</si>
  <si>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</si>
  <si>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D01</t>
  </si>
  <si>
    <t>D</t>
  </si>
  <si>
    <t>D02</t>
  </si>
  <si>
    <t>µM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</si>
  <si>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</si>
  <si>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</si>
  <si>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</si>
  <si>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</si>
  <si>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</si>
  <si>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</si>
  <si>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</si>
  <si>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</si>
  <si>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</si>
  <si>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</si>
  <si>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</si>
  <si>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</si>
  <si>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</si>
  <si>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</si>
  <si>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</si>
  <si>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</si>
  <si>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</si>
  <si>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</si>
  <si>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</si>
  <si>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</si>
  <si>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</si>
  <si>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</si>
  <si>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E01</t>
  </si>
  <si>
    <t>E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</si>
  <si>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</si>
  <si>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</si>
  <si>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</si>
  <si>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</si>
  <si>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</si>
  <si>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</si>
  <si>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</si>
  <si>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</si>
  <si>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</si>
  <si>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</si>
  <si>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</si>
  <si>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</si>
  <si>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</si>
  <si>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</si>
  <si>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</si>
  <si>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</si>
  <si>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</si>
  <si>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</si>
  <si>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</si>
  <si>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</si>
  <si>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</si>
  <si>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</si>
  <si>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</si>
  <si>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F01</t>
  </si>
  <si>
    <t>F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</si>
  <si>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</si>
  <si>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</si>
  <si>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</si>
  <si>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</si>
  <si>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</si>
  <si>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</si>
  <si>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</si>
  <si>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</si>
  <si>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</si>
  <si>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</si>
  <si>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</si>
  <si>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</si>
  <si>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</si>
  <si>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</si>
  <si>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</si>
  <si>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</si>
  <si>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</si>
  <si>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</si>
  <si>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</si>
  <si>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</si>
  <si>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</si>
  <si>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</si>
  <si>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</si>
  <si>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</si>
  <si>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</si>
  <si>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</si>
  <si>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</si>
  <si>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</si>
  <si>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</si>
  <si>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</si>
  <si>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</si>
  <si>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</si>
  <si>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</si>
  <si>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</si>
  <si>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</si>
  <si>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</si>
  <si>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</si>
  <si>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</si>
  <si>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</si>
  <si>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</si>
  <si>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</si>
  <si>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</si>
  <si>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</si>
  <si>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</si>
  <si>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</si>
  <si>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</si>
  <si>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</si>
  <si>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</si>
  <si>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H01</t>
  </si>
  <si>
    <t>H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</si>
  <si>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</si>
  <si>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</si>
  <si>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</si>
  <si>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</si>
  <si>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</si>
  <si>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</si>
  <si>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</si>
  <si>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</si>
  <si>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</si>
  <si>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</si>
  <si>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</si>
  <si>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</si>
  <si>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</si>
  <si>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</si>
  <si>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</si>
  <si>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</si>
  <si>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</si>
  <si>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</si>
  <si>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</si>
  <si>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</si>
  <si>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</si>
  <si>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</si>
  <si>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</si>
  <si>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I01</t>
  </si>
  <si>
    <t>I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</si>
  <si>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</si>
  <si>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</si>
  <si>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</si>
  <si>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</si>
  <si>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</si>
  <si>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</si>
  <si>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</si>
  <si>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</si>
  <si>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</si>
  <si>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</si>
  <si>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</si>
  <si>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</si>
  <si>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</si>
  <si>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</si>
  <si>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</si>
  <si>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</si>
  <si>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</si>
  <si>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</si>
  <si>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</si>
  <si>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</si>
  <si>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</si>
  <si>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</si>
  <si>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</si>
  <si>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J01</t>
  </si>
  <si>
    <t>J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</si>
  <si>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</si>
  <si>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</si>
  <si>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</si>
  <si>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</si>
  <si>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</si>
  <si>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</si>
  <si>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</si>
  <si>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</si>
  <si>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</si>
  <si>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</si>
  <si>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</si>
  <si>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</si>
  <si>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</si>
  <si>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</si>
  <si>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</si>
  <si>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</si>
  <si>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</si>
  <si>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</si>
  <si>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</si>
  <si>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</si>
  <si>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</si>
  <si>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</si>
  <si>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</si>
  <si>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</si>
  <si>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</si>
  <si>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</si>
  <si>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</si>
  <si>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</si>
  <si>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</si>
  <si>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</si>
  <si>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</si>
  <si>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</si>
  <si>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</si>
  <si>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</si>
  <si>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</si>
  <si>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</si>
  <si>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</si>
  <si>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</si>
  <si>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</si>
  <si>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</si>
  <si>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</si>
  <si>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</si>
  <si>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</si>
  <si>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</si>
  <si>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</si>
  <si>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</si>
  <si>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</si>
  <si>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</si>
  <si>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L01</t>
  </si>
  <si>
    <t>L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</si>
  <si>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</si>
  <si>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</si>
  <si>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</si>
  <si>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</si>
  <si>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</si>
  <si>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</si>
  <si>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</si>
  <si>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</si>
  <si>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</si>
  <si>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</si>
  <si>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</si>
  <si>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</si>
  <si>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</si>
  <si>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</si>
  <si>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</si>
  <si>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</si>
  <si>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</si>
  <si>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</si>
  <si>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</si>
  <si>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</si>
  <si>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</si>
  <si>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</si>
  <si>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</si>
  <si>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M01</t>
  </si>
  <si>
    <t>M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</si>
  <si>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</si>
  <si>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</si>
  <si>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</si>
  <si>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</si>
  <si>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</si>
  <si>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</si>
  <si>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</si>
  <si>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</si>
  <si>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</si>
  <si>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</si>
  <si>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</si>
  <si>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</si>
  <si>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</si>
  <si>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</si>
  <si>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</si>
  <si>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</si>
  <si>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</si>
  <si>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</si>
  <si>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</si>
  <si>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</si>
  <si>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</si>
  <si>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</si>
  <si>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</si>
  <si>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N01</t>
  </si>
  <si>
    <t>N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</si>
  <si>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</si>
  <si>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</si>
  <si>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</si>
  <si>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</si>
  <si>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</si>
  <si>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</si>
  <si>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</si>
  <si>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</si>
  <si>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</si>
  <si>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</si>
  <si>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</si>
  <si>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</si>
  <si>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</si>
  <si>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</si>
  <si>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</si>
  <si>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</si>
  <si>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</si>
  <si>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</si>
  <si>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</si>
  <si>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</si>
  <si>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</si>
  <si>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</si>
  <si>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</si>
  <si>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O01</t>
  </si>
  <si>
    <t>O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</si>
  <si>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</si>
  <si>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</si>
  <si>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</si>
  <si>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</si>
  <si>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</si>
  <si>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</si>
  <si>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</si>
  <si>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</si>
  <si>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</si>
  <si>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</si>
  <si>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</si>
  <si>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</si>
  <si>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</si>
  <si>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</si>
  <si>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</si>
  <si>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</si>
  <si>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</si>
  <si>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</si>
  <si>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</si>
  <si>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</si>
  <si>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</si>
  <si>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</si>
  <si>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</si>
  <si>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P01</t>
  </si>
  <si>
    <t>P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</si>
  <si>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</si>
  <si>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</si>
  <si>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</si>
  <si>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</si>
  <si>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</si>
  <si>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</si>
  <si>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</si>
  <si>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</si>
  <si>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</si>
  <si>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</si>
  <si>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</si>
  <si>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</si>
  <si>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</si>
  <si>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</si>
  <si>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</si>
  <si>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</si>
  <si>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</si>
  <si>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</si>
  <si>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</si>
  <si>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</si>
  <si>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</si>
  <si>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</si>
  <si>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</si>
  <si>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DMSO</t>
  </si>
  <si>
    <t>Emetine dihydrochloride</t>
  </si>
  <si>
    <t>Cyclohexamide</t>
  </si>
  <si>
    <t>Repaglinide</t>
  </si>
  <si>
    <t>Parbendazol</t>
  </si>
  <si>
    <t>Fenbendazole</t>
  </si>
  <si>
    <t>Control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</si>
</sst>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E+00"/>
    <numFmt numFmtId="165" formatCode="0.000"/>
    <numFmt numFmtId="166" formatCode="0.0000"/>
  </numFmts>
  <fonts count="7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rgb="FF0000FF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onsolas"/>
      <family val="3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/>
    <xf numFmtId="14" fontId="1" fillId="0" borderId="0" xfId="1" applyNumberFormat="1"/>
    <xf numFmtId="0" fontId="1" fillId="0" borderId="2" xfId="1" applyBorder="1"/>
    <xf numFmtId="0" fontId="2" fillId="0" borderId="0" xfId="1" applyFont="1"/>
    <xf numFmtId="0" fontId="1" fillId="0" borderId="1" xfId="1" applyBorder="1"/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0" xfId="1" applyAlignment="1">
      <alignment horizontal="left"/>
    </xf>
    <xf numFmtId="0" fontId="1" fillId="0" borderId="2" xfId="1" applyBorder="1" applyAlignment="1">
      <alignment horizontal="left"/>
    </xf>
    <xf numFmtId="0" fontId="3" fillId="0" borderId="0" xfId="1" applyFont="1" applyAlignment="1">
      <alignment horizontal="left" wrapText="1"/>
    </xf>
    <xf numFmtId="0" fontId="1" fillId="0" borderId="1" xfId="1" applyBorder="1" applyAlignment="1">
      <alignment horizontal="left"/>
    </xf>
    <xf numFmtId="0" fontId="1" fillId="0" borderId="0" xfId="1" applyAlignment="1">
      <alignment horizontal="right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1" applyFont="1" applyBorder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/>
    </xf>
    <xf numFmtId="2" fontId="6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vertical="center" wrapText="1"/>
    </xf>
  </cellXfs>
  <cellStyles count="2">
    <cellStyle name="Normal" xfId="0" builtinId="0"/>
    <cellStyle name="Normal 2" xfId="1" xr:uid="{9A85801F-C971-4A0F-BF3B-96C21B26C588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B09CF-26CA-4E56-B443-66BC95724E59}">
  <sheetPr>
    <tabColor rgb="FF92D050"/>
  </sheetPr>
  <dimension ref="A1:K403"/>
  <sheetViews>
    <sheetView tabSelected="1" zoomScale="119" zoomScaleNormal="115" workbookViewId="0">
      <selection activeCell="B4" sqref="B4"/>
    </sheetView>
  </sheetViews>
  <sheetFormatPr defaultColWidth="7.5" defaultRowHeight="14.4" x14ac:dyDescent="0.3"/>
  <cols>
    <col min="1" max="1" width="14.5" style="2" customWidth="1"/>
    <col min="2" max="2" width="10.296875" style="2" bestFit="1" customWidth="1"/>
    <col min="3" max="3" width="11.5" style="2" customWidth="1"/>
    <col min="4" max="4" width="31" style="11" customWidth="1"/>
    <col min="5" max="5" width="10.5" style="2" customWidth="1"/>
    <col min="6" max="6" width="39" style="11" customWidth="1"/>
    <col min="7" max="7" width="15.5" style="11" customWidth="1"/>
    <col min="8" max="8" width="9" style="2" customWidth="1"/>
    <col min="9" max="9" width="10.796875" style="2" customWidth="1"/>
    <col min="10" max="10" width="11" style="2" customWidth="1"/>
    <col min="11" max="11" width="105" style="2" customWidth="1"/>
    <col min="12" max="16384" width="7.5" style="2"/>
  </cols>
  <sheetData>
    <row r="1" spans="1:11" x14ac:dyDescent="0.3">
      <c r="A1" s="2" t="s">
        <v>0</v>
      </c>
      <c r="B1" s="3"/>
      <c r="C1" s="2" t="s">
        <v>1</v>
      </c>
      <c r="D1" s="11" t="s">
        <v>1</v>
      </c>
      <c r="E1" s="15" t="s">
        <v>2</v>
      </c>
      <c r="G1" s="15" t="s">
        <v>3</v>
      </c>
      <c r="J1" s="2" t="s">
        <v>1</v>
      </c>
      <c r="K1" s="2" t="s">
        <v>1</v>
      </c>
    </row>
    <row r="2" spans="1:11" x14ac:dyDescent="0.3">
      <c r="A2" s="2" t="s">
        <v>4</v>
      </c>
      <c r="C2" s="2" t="s">
        <v>1</v>
      </c>
      <c r="D2" s="11" t="s">
        <v>1</v>
      </c>
      <c r="E2" s="15" t="s">
        <v>5</v>
      </c>
      <c r="G2" s="15" t="s">
        <v>6</v>
      </c>
      <c r="J2" s="2" t="s">
        <v>1</v>
      </c>
      <c r="K2" s="2" t="s">
        <v>1</v>
      </c>
    </row>
    <row r="3" spans="1:11" x14ac:dyDescent="0.3">
      <c r="A3" s="2" t="s">
        <v>7</v>
      </c>
      <c r="B3" s="2" t="s">
        <v>451</v>
      </c>
      <c r="C3" s="2" t="s">
        <v>1</v>
      </c>
      <c r="D3" s="11" t="s">
        <v>1</v>
      </c>
      <c r="E3" s="2" t="s">
        <v>1</v>
      </c>
      <c r="F3" s="11" t="s">
        <v>1</v>
      </c>
      <c r="G3" s="11" t="s">
        <v>1</v>
      </c>
      <c r="H3" s="2" t="s">
        <v>1</v>
      </c>
      <c r="I3" s="2" t="s">
        <v>1</v>
      </c>
      <c r="J3" s="2" t="s">
        <v>1</v>
      </c>
      <c r="K3" s="2" t="s">
        <v>1</v>
      </c>
    </row>
    <row r="4" spans="1:11" x14ac:dyDescent="0.3">
      <c r="A4" s="4" t="s">
        <v>8</v>
      </c>
      <c r="B4" s="4" t="s">
        <v>9</v>
      </c>
      <c r="C4" s="4" t="s">
        <v>10</v>
      </c>
      <c r="D4" s="12" t="s">
        <v>11</v>
      </c>
      <c r="E4" s="4" t="s">
        <v>12</v>
      </c>
      <c r="F4" s="12" t="s">
        <v>13</v>
      </c>
      <c r="G4" s="12" t="s">
        <v>14</v>
      </c>
      <c r="H4" s="4" t="s">
        <v>15</v>
      </c>
      <c r="I4" s="4" t="s">
        <v>16</v>
      </c>
      <c r="J4" s="4" t="s">
        <v>17</v>
      </c>
      <c r="K4" s="4" t="s">
        <v>18</v>
      </c>
    </row>
    <row r="5" spans="1:11" x14ac:dyDescent="0.3">
      <c r="A5" s="2" t="s">
        <v>19</v>
      </c>
      <c r="B5" s="2" t="s">
        <v>20</v>
      </c>
      <c r="C5" s="2" t="s">
        <v>21</v>
      </c>
      <c r="D5" s="11" t="str">
        <f>Names!$B$2</f>
        <v>DMSO</v>
      </c>
      <c r="E5" s="2" t="str">
        <f t="shared" ref="E5:E68" si="0">IF(LEFT(D5,2)="KC",IF(_xlfn.CEILING.MATH(C5/2)-2&lt;1,"",_xlfn.CEILING.MATH(C5/2)-2),"")</f>
        <v/>
      </c>
      <c r="F5" s="11" t="str">
        <f t="shared" ref="F5:F68" si="1">IF(E5="",D5,_xlfn.CONCAT(D5,"_",E5))</f>
        <v>DMSO</v>
      </c>
      <c r="G5" s="11">
        <f>Concentrations!$B$2</f>
        <v>0</v>
      </c>
      <c r="H5" s="2" t="s">
        <v>22</v>
      </c>
      <c r="I5" s="2" cm="1">
        <f t="array" aca="1" ref="I5" ca="1">IF(MOD(COLUMN(INDIRECT(B5&amp;1)),2)=1,IF(MOD(C5,2)=1,$F$1,$F$2),IF(MOD(C5,2)=1,$H$1,$H$2))</f>
        <v>0</v>
      </c>
      <c r="J5" s="16"/>
      <c r="K5" s="5"/>
    </row>
    <row r="6" spans="1:11" x14ac:dyDescent="0.3">
      <c r="A6" s="2" t="s">
        <v>23</v>
      </c>
      <c r="B6" s="2" t="s">
        <v>20</v>
      </c>
      <c r="C6" s="2" t="s">
        <v>24</v>
      </c>
      <c r="D6" s="11" t="str">
        <f>Names!$C$2</f>
        <v>DMSO</v>
      </c>
      <c r="E6" s="2" t="str">
        <f t="shared" si="0"/>
        <v/>
      </c>
      <c r="F6" s="11" t="str">
        <f t="shared" si="1"/>
        <v>DMSO</v>
      </c>
      <c r="G6" s="11">
        <f>Concentrations!$C$2</f>
        <v>0</v>
      </c>
      <c r="H6" s="2" t="s">
        <v>22</v>
      </c>
      <c r="I6" s="2" cm="1">
        <f t="array" aca="1" ref="I6" ca="1">IF(MOD(COLUMN(INDIRECT(B6&amp;1)),2)=1,IF(MOD(C6,2)=1,$F$1,$F$2),IF(MOD(C6,2)=1,$H$1,$H$2))</f>
        <v>0</v>
      </c>
      <c r="J6" s="16"/>
      <c r="K6" s="5"/>
    </row>
    <row r="7" spans="1:11" x14ac:dyDescent="0.3">
      <c r="A7" s="2" t="s">
        <v>25</v>
      </c>
      <c r="B7" s="2" t="s">
        <v>20</v>
      </c>
      <c r="C7" s="2" t="s">
        <v>26</v>
      </c>
      <c r="D7" s="11">
        <f>Names!$D$2</f>
        <v>0</v>
      </c>
      <c r="E7" s="2" t="str">
        <f t="shared" si="0"/>
        <v/>
      </c>
      <c r="F7" s="11">
        <f t="shared" si="1"/>
        <v>0</v>
      </c>
      <c r="G7" s="11">
        <f>Concentrations!$D$2</f>
        <v>0</v>
      </c>
      <c r="H7" s="2" t="s">
        <v>22</v>
      </c>
      <c r="I7" s="2" cm="1">
        <f t="array" aca="1" ref="I7" ca="1">IF(MOD(COLUMN(INDIRECT(B7&amp;1)),2)=1,IF(MOD(C7,2)=1,$F$1,$F$2),IF(MOD(C7,2)=1,$H$1,$H$2))</f>
        <v>0</v>
      </c>
      <c r="J7" s="16"/>
      <c r="K7" s="5"/>
    </row>
    <row r="8" spans="1:11" x14ac:dyDescent="0.3">
      <c r="A8" s="2" t="s">
        <v>27</v>
      </c>
      <c r="B8" s="2" t="s">
        <v>20</v>
      </c>
      <c r="C8" s="2" t="s">
        <v>28</v>
      </c>
      <c r="D8" s="11">
        <f>Names!$E$2</f>
        <v>0</v>
      </c>
      <c r="E8" s="2" t="str">
        <f t="shared" si="0"/>
        <v/>
      </c>
      <c r="F8" s="11">
        <f t="shared" si="1"/>
        <v>0</v>
      </c>
      <c r="G8" s="11">
        <f>Concentrations!$E$2</f>
        <v>0</v>
      </c>
      <c r="H8" s="2" t="s">
        <v>22</v>
      </c>
      <c r="I8" s="2" cm="1">
        <f t="array" aca="1" ref="I8" ca="1">IF(MOD(COLUMN(INDIRECT(B8&amp;1)),2)=1,IF(MOD(C8,2)=1,$F$1,$F$2),IF(MOD(C8,2)=1,$H$1,$H$2))</f>
        <v>0</v>
      </c>
      <c r="J8" s="16"/>
      <c r="K8" s="5"/>
    </row>
    <row r="9" spans="1:11" x14ac:dyDescent="0.3">
      <c r="A9" s="2" t="s">
        <v>29</v>
      </c>
      <c r="B9" s="2" t="s">
        <v>20</v>
      </c>
      <c r="C9" s="2" t="s">
        <v>30</v>
      </c>
      <c r="D9" s="11">
        <f>Names!$F$2</f>
        <v>0</v>
      </c>
      <c r="E9" s="2" t="str">
        <f t="shared" si="0"/>
        <v/>
      </c>
      <c r="F9" s="11">
        <f t="shared" si="1"/>
        <v>0</v>
      </c>
      <c r="G9" s="11">
        <f>Concentrations!$F$2</f>
        <v>0</v>
      </c>
      <c r="H9" s="2" t="s">
        <v>22</v>
      </c>
      <c r="I9" s="2" cm="1">
        <f t="array" aca="1" ref="I9" ca="1">IF(MOD(COLUMN(INDIRECT(B9&amp;1)),2)=1,IF(MOD(C9,2)=1,$F$1,$F$2),IF(MOD(C9,2)=1,$H$1,$H$2))</f>
        <v>0</v>
      </c>
      <c r="J9" s="16"/>
      <c r="K9" s="5"/>
    </row>
    <row r="10" spans="1:11" x14ac:dyDescent="0.3">
      <c r="A10" s="2" t="s">
        <v>31</v>
      </c>
      <c r="B10" s="2" t="s">
        <v>20</v>
      </c>
      <c r="C10" s="2" t="s">
        <v>32</v>
      </c>
      <c r="D10" s="11">
        <f>Names!$G$2</f>
        <v>0</v>
      </c>
      <c r="E10" s="2" t="str">
        <f t="shared" si="0"/>
        <v/>
      </c>
      <c r="F10" s="11">
        <f t="shared" si="1"/>
        <v>0</v>
      </c>
      <c r="G10" s="11">
        <f>Concentrations!$G$2</f>
        <v>0</v>
      </c>
      <c r="H10" s="2" t="s">
        <v>22</v>
      </c>
      <c r="I10" s="2" cm="1">
        <f t="array" aca="1" ref="I10" ca="1">IF(MOD(COLUMN(INDIRECT(B10&amp;1)),2)=1,IF(MOD(C10,2)=1,$F$1,$F$2),IF(MOD(C10,2)=1,$H$1,$H$2))</f>
        <v>0</v>
      </c>
      <c r="J10" s="16"/>
      <c r="K10" s="5"/>
    </row>
    <row r="11" spans="1:11" x14ac:dyDescent="0.3">
      <c r="A11" s="2" t="s">
        <v>33</v>
      </c>
      <c r="B11" s="2" t="s">
        <v>20</v>
      </c>
      <c r="C11" s="2" t="s">
        <v>34</v>
      </c>
      <c r="D11" s="11">
        <f>Names!$H$2</f>
        <v>0</v>
      </c>
      <c r="E11" s="2" t="str">
        <f t="shared" si="0"/>
        <v/>
      </c>
      <c r="F11" s="11">
        <f t="shared" si="1"/>
        <v>0</v>
      </c>
      <c r="G11" s="11">
        <f>Concentrations!$H$2</f>
        <v>0</v>
      </c>
      <c r="H11" s="2" t="s">
        <v>22</v>
      </c>
      <c r="I11" s="2" cm="1">
        <f t="array" aca="1" ref="I11" ca="1">IF(MOD(COLUMN(INDIRECT(B11&amp;1)),2)=1,IF(MOD(C11,2)=1,$F$1,$F$2),IF(MOD(C11,2)=1,$H$1,$H$2))</f>
        <v>0</v>
      </c>
      <c r="J11" s="16"/>
      <c r="K11" s="5"/>
    </row>
    <row r="12" spans="1:11" x14ac:dyDescent="0.3">
      <c r="A12" s="2" t="s">
        <v>35</v>
      </c>
      <c r="B12" s="2" t="s">
        <v>20</v>
      </c>
      <c r="C12" s="2" t="s">
        <v>36</v>
      </c>
      <c r="D12" s="11">
        <f>Names!$I$2</f>
        <v>0</v>
      </c>
      <c r="E12" s="2" t="str">
        <f t="shared" si="0"/>
        <v/>
      </c>
      <c r="F12" s="11">
        <f t="shared" si="1"/>
        <v>0</v>
      </c>
      <c r="G12" s="11">
        <f>Concentrations!$I$2</f>
        <v>0</v>
      </c>
      <c r="H12" s="2" t="s">
        <v>22</v>
      </c>
      <c r="I12" s="2" cm="1">
        <f t="array" aca="1" ref="I12" ca="1">IF(MOD(COLUMN(INDIRECT(B12&amp;1)),2)=1,IF(MOD(C12,2)=1,$F$1,$F$2),IF(MOD(C12,2)=1,$H$1,$H$2))</f>
        <v>0</v>
      </c>
      <c r="J12" s="16"/>
      <c r="K12" s="5"/>
    </row>
    <row r="13" spans="1:11" x14ac:dyDescent="0.3">
      <c r="A13" s="2" t="s">
        <v>37</v>
      </c>
      <c r="B13" s="2" t="s">
        <v>20</v>
      </c>
      <c r="C13" s="2" t="s">
        <v>38</v>
      </c>
      <c r="D13" s="11">
        <f>Names!$J$2</f>
        <v>0</v>
      </c>
      <c r="E13" s="2" t="str">
        <f t="shared" si="0"/>
        <v/>
      </c>
      <c r="F13" s="11">
        <f t="shared" si="1"/>
        <v>0</v>
      </c>
      <c r="G13" s="11">
        <f>Concentrations!$J$2</f>
        <v>0</v>
      </c>
      <c r="H13" s="2" t="s">
        <v>22</v>
      </c>
      <c r="I13" s="2" cm="1">
        <f t="array" aca="1" ref="I13" ca="1">IF(MOD(COLUMN(INDIRECT(B13&amp;1)),2)=1,IF(MOD(C13,2)=1,$F$1,$F$2),IF(MOD(C13,2)=1,$H$1,$H$2))</f>
        <v>0</v>
      </c>
      <c r="J13" s="16"/>
      <c r="K13" s="5"/>
    </row>
    <row r="14" spans="1:11" x14ac:dyDescent="0.3">
      <c r="A14" s="2" t="s">
        <v>39</v>
      </c>
      <c r="B14" s="2" t="s">
        <v>20</v>
      </c>
      <c r="C14" s="2" t="s">
        <v>40</v>
      </c>
      <c r="D14" s="11">
        <f>Names!$K$2</f>
        <v>0</v>
      </c>
      <c r="E14" s="2" t="str">
        <f t="shared" si="0"/>
        <v/>
      </c>
      <c r="F14" s="11">
        <f t="shared" si="1"/>
        <v>0</v>
      </c>
      <c r="G14" s="11">
        <f>Concentrations!$K$2</f>
        <v>0</v>
      </c>
      <c r="H14" s="2" t="s">
        <v>22</v>
      </c>
      <c r="I14" s="2" cm="1">
        <f t="array" aca="1" ref="I14" ca="1">IF(MOD(COLUMN(INDIRECT(B14&amp;1)),2)=1,IF(MOD(C14,2)=1,$F$1,$F$2),IF(MOD(C14,2)=1,$H$1,$H$2))</f>
        <v>0</v>
      </c>
      <c r="J14" s="16"/>
      <c r="K14" s="5"/>
    </row>
    <row r="15" spans="1:11" x14ac:dyDescent="0.3">
      <c r="A15" s="2" t="s">
        <v>41</v>
      </c>
      <c r="B15" s="2" t="s">
        <v>20</v>
      </c>
      <c r="C15" s="2" t="s">
        <v>42</v>
      </c>
      <c r="D15" s="11">
        <f>Names!$L$2</f>
        <v>0</v>
      </c>
      <c r="E15" s="2" t="str">
        <f t="shared" si="0"/>
        <v/>
      </c>
      <c r="F15" s="11">
        <f t="shared" si="1"/>
        <v>0</v>
      </c>
      <c r="G15" s="11">
        <f>Concentrations!$L$2</f>
        <v>0</v>
      </c>
      <c r="H15" s="2" t="s">
        <v>22</v>
      </c>
      <c r="I15" s="2" cm="1">
        <f t="array" aca="1" ref="I15" ca="1">IF(MOD(COLUMN(INDIRECT(B15&amp;1)),2)=1,IF(MOD(C15,2)=1,$F$1,$F$2),IF(MOD(C15,2)=1,$H$1,$H$2))</f>
        <v>0</v>
      </c>
      <c r="J15" s="16"/>
      <c r="K15" s="5"/>
    </row>
    <row r="16" spans="1:11" x14ac:dyDescent="0.3">
      <c r="A16" s="2" t="s">
        <v>43</v>
      </c>
      <c r="B16" s="2" t="s">
        <v>20</v>
      </c>
      <c r="C16" s="2" t="s">
        <v>44</v>
      </c>
      <c r="D16" s="11">
        <f>Names!$M$2</f>
        <v>0</v>
      </c>
      <c r="E16" s="2" t="str">
        <f t="shared" si="0"/>
        <v/>
      </c>
      <c r="F16" s="11">
        <f t="shared" si="1"/>
        <v>0</v>
      </c>
      <c r="G16" s="11">
        <f>Concentrations!$M$2</f>
        <v>0</v>
      </c>
      <c r="H16" s="2" t="s">
        <v>22</v>
      </c>
      <c r="I16" s="2" cm="1">
        <f t="array" aca="1" ref="I16" ca="1">IF(MOD(COLUMN(INDIRECT(B16&amp;1)),2)=1,IF(MOD(C16,2)=1,$F$1,$F$2),IF(MOD(C16,2)=1,$H$1,$H$2))</f>
        <v>0</v>
      </c>
      <c r="J16" s="16"/>
      <c r="K16" s="5"/>
    </row>
    <row r="17" spans="1:11" x14ac:dyDescent="0.3">
      <c r="A17" s="2" t="s">
        <v>45</v>
      </c>
      <c r="B17" s="2" t="s">
        <v>20</v>
      </c>
      <c r="C17" s="2" t="s">
        <v>46</v>
      </c>
      <c r="D17" s="11">
        <f>Names!$N$2</f>
        <v>0</v>
      </c>
      <c r="E17" s="2" t="str">
        <f t="shared" si="0"/>
        <v/>
      </c>
      <c r="F17" s="11">
        <f t="shared" si="1"/>
        <v>0</v>
      </c>
      <c r="G17" s="11">
        <f>Concentrations!$N$2</f>
        <v>0</v>
      </c>
      <c r="H17" s="2" t="s">
        <v>22</v>
      </c>
      <c r="I17" s="2" cm="1">
        <f t="array" aca="1" ref="I17" ca="1">IF(MOD(COLUMN(INDIRECT(B17&amp;1)),2)=1,IF(MOD(C17,2)=1,$F$1,$F$2),IF(MOD(C17,2)=1,$H$1,$H$2))</f>
        <v>0</v>
      </c>
      <c r="J17" s="16"/>
      <c r="K17" s="5"/>
    </row>
    <row r="18" spans="1:11" x14ac:dyDescent="0.3">
      <c r="A18" s="2" t="s">
        <v>47</v>
      </c>
      <c r="B18" s="2" t="s">
        <v>20</v>
      </c>
      <c r="C18" s="2" t="s">
        <v>48</v>
      </c>
      <c r="D18" s="11">
        <f>Names!$O$2</f>
        <v>0</v>
      </c>
      <c r="E18" s="2" t="str">
        <f t="shared" si="0"/>
        <v/>
      </c>
      <c r="F18" s="11">
        <f t="shared" si="1"/>
        <v>0</v>
      </c>
      <c r="G18" s="11">
        <f>Concentrations!$O$2</f>
        <v>0</v>
      </c>
      <c r="H18" s="2" t="s">
        <v>22</v>
      </c>
      <c r="I18" s="2" cm="1">
        <f t="array" aca="1" ref="I18" ca="1">IF(MOD(COLUMN(INDIRECT(B18&amp;1)),2)=1,IF(MOD(C18,2)=1,$F$1,$F$2),IF(MOD(C18,2)=1,$H$1,$H$2))</f>
        <v>0</v>
      </c>
      <c r="J18" s="16"/>
      <c r="K18" s="5"/>
    </row>
    <row r="19" spans="1:11" x14ac:dyDescent="0.3">
      <c r="A19" s="2" t="s">
        <v>49</v>
      </c>
      <c r="B19" s="2" t="s">
        <v>20</v>
      </c>
      <c r="C19" s="2" t="s">
        <v>50</v>
      </c>
      <c r="D19" s="11">
        <f>Names!$P$2</f>
        <v>0</v>
      </c>
      <c r="E19" s="2" t="str">
        <f t="shared" si="0"/>
        <v/>
      </c>
      <c r="F19" s="11">
        <f t="shared" si="1"/>
        <v>0</v>
      </c>
      <c r="G19" s="11">
        <f>Concentrations!$P$2</f>
        <v>0</v>
      </c>
      <c r="H19" s="2" t="s">
        <v>22</v>
      </c>
      <c r="I19" s="2" cm="1">
        <f t="array" aca="1" ref="I19" ca="1">IF(MOD(COLUMN(INDIRECT(B19&amp;1)),2)=1,IF(MOD(C19,2)=1,$F$1,$F$2),IF(MOD(C19,2)=1,$H$1,$H$2))</f>
        <v>0</v>
      </c>
      <c r="J19" s="16"/>
      <c r="K19" s="5"/>
    </row>
    <row r="20" spans="1:11" x14ac:dyDescent="0.3">
      <c r="A20" s="2" t="s">
        <v>51</v>
      </c>
      <c r="B20" s="2" t="s">
        <v>20</v>
      </c>
      <c r="C20" s="2" t="s">
        <v>52</v>
      </c>
      <c r="D20" s="11">
        <f>Names!$Q$2</f>
        <v>0</v>
      </c>
      <c r="E20" s="2" t="str">
        <f t="shared" si="0"/>
        <v/>
      </c>
      <c r="F20" s="11">
        <f t="shared" si="1"/>
        <v>0</v>
      </c>
      <c r="G20" s="11">
        <f>Concentrations!$Q$2</f>
        <v>0</v>
      </c>
      <c r="H20" s="2" t="s">
        <v>22</v>
      </c>
      <c r="I20" s="2" cm="1">
        <f t="array" aca="1" ref="I20" ca="1">IF(MOD(COLUMN(INDIRECT(B20&amp;1)),2)=1,IF(MOD(C20,2)=1,$F$1,$F$2),IF(MOD(C20,2)=1,$H$1,$H$2))</f>
        <v>0</v>
      </c>
      <c r="J20" s="16"/>
      <c r="K20" s="5"/>
    </row>
    <row r="21" spans="1:11" x14ac:dyDescent="0.3">
      <c r="A21" s="2" t="s">
        <v>53</v>
      </c>
      <c r="B21" s="2" t="s">
        <v>20</v>
      </c>
      <c r="C21" s="2" t="s">
        <v>54</v>
      </c>
      <c r="D21" s="11">
        <f>Names!$R$2</f>
        <v>0</v>
      </c>
      <c r="E21" s="2" t="str">
        <f t="shared" si="0"/>
        <v/>
      </c>
      <c r="F21" s="11">
        <f t="shared" si="1"/>
        <v>0</v>
      </c>
      <c r="G21" s="11">
        <f>Concentrations!$R$2</f>
        <v>0</v>
      </c>
      <c r="H21" s="2" t="s">
        <v>22</v>
      </c>
      <c r="I21" s="2" cm="1">
        <f t="array" aca="1" ref="I21" ca="1">IF(MOD(COLUMN(INDIRECT(B21&amp;1)),2)=1,IF(MOD(C21,2)=1,$F$1,$F$2),IF(MOD(C21,2)=1,$H$1,$H$2))</f>
        <v>0</v>
      </c>
      <c r="J21" s="16"/>
      <c r="K21" s="5"/>
    </row>
    <row r="22" spans="1:11" x14ac:dyDescent="0.3">
      <c r="A22" s="2" t="s">
        <v>55</v>
      </c>
      <c r="B22" s="2" t="s">
        <v>20</v>
      </c>
      <c r="C22" s="2" t="s">
        <v>56</v>
      </c>
      <c r="D22" s="11">
        <f>Names!$S$2</f>
        <v>0</v>
      </c>
      <c r="E22" s="2" t="str">
        <f t="shared" si="0"/>
        <v/>
      </c>
      <c r="F22" s="11">
        <f t="shared" si="1"/>
        <v>0</v>
      </c>
      <c r="G22" s="11">
        <f>Concentrations!$S$2</f>
        <v>0</v>
      </c>
      <c r="H22" s="2" t="s">
        <v>22</v>
      </c>
      <c r="I22" s="2" cm="1">
        <f t="array" aca="1" ref="I22" ca="1">IF(MOD(COLUMN(INDIRECT(B22&amp;1)),2)=1,IF(MOD(C22,2)=1,$F$1,$F$2),IF(MOD(C22,2)=1,$H$1,$H$2))</f>
        <v>0</v>
      </c>
      <c r="J22" s="16"/>
      <c r="K22" s="5"/>
    </row>
    <row r="23" spans="1:11" x14ac:dyDescent="0.3">
      <c r="A23" s="2" t="s">
        <v>57</v>
      </c>
      <c r="B23" s="2" t="s">
        <v>20</v>
      </c>
      <c r="C23" s="2" t="s">
        <v>58</v>
      </c>
      <c r="D23" s="11">
        <f>Names!$T$2</f>
        <v>0</v>
      </c>
      <c r="E23" s="2" t="str">
        <f t="shared" si="0"/>
        <v/>
      </c>
      <c r="F23" s="11">
        <f t="shared" si="1"/>
        <v>0</v>
      </c>
      <c r="G23" s="11">
        <f>Concentrations!$T$2</f>
        <v>0</v>
      </c>
      <c r="H23" s="2" t="s">
        <v>22</v>
      </c>
      <c r="I23" s="2" cm="1">
        <f t="array" aca="1" ref="I23" ca="1">IF(MOD(COLUMN(INDIRECT(B23&amp;1)),2)=1,IF(MOD(C23,2)=1,$F$1,$F$2),IF(MOD(C23,2)=1,$H$1,$H$2))</f>
        <v>0</v>
      </c>
      <c r="J23" s="16"/>
      <c r="K23" s="5"/>
    </row>
    <row r="24" spans="1:11" x14ac:dyDescent="0.3">
      <c r="A24" s="2" t="s">
        <v>59</v>
      </c>
      <c r="B24" s="2" t="s">
        <v>20</v>
      </c>
      <c r="C24" s="2" t="s">
        <v>60</v>
      </c>
      <c r="D24" s="11">
        <f>Names!$U$2</f>
        <v>0</v>
      </c>
      <c r="E24" s="2" t="str">
        <f t="shared" si="0"/>
        <v/>
      </c>
      <c r="F24" s="11">
        <f t="shared" si="1"/>
        <v>0</v>
      </c>
      <c r="G24" s="11">
        <f>Concentrations!$U$2</f>
        <v>0</v>
      </c>
      <c r="H24" s="2" t="s">
        <v>22</v>
      </c>
      <c r="I24" s="2" cm="1">
        <f t="array" aca="1" ref="I24" ca="1">IF(MOD(COLUMN(INDIRECT(B24&amp;1)),2)=1,IF(MOD(C24,2)=1,$F$1,$F$2),IF(MOD(C24,2)=1,$H$1,$H$2))</f>
        <v>0</v>
      </c>
      <c r="J24" s="16"/>
      <c r="K24" s="5"/>
    </row>
    <row r="25" spans="1:11" x14ac:dyDescent="0.3">
      <c r="A25" s="2" t="s">
        <v>61</v>
      </c>
      <c r="B25" s="2" t="s">
        <v>20</v>
      </c>
      <c r="C25" s="2" t="s">
        <v>62</v>
      </c>
      <c r="D25" s="11">
        <f>Names!$V$2</f>
        <v>0</v>
      </c>
      <c r="E25" s="2" t="str">
        <f t="shared" si="0"/>
        <v/>
      </c>
      <c r="F25" s="11">
        <f t="shared" si="1"/>
        <v>0</v>
      </c>
      <c r="G25" s="11">
        <f>Concentrations!$V$2</f>
        <v>0</v>
      </c>
      <c r="H25" s="2" t="s">
        <v>22</v>
      </c>
      <c r="I25" s="2" cm="1">
        <f t="array" aca="1" ref="I25" ca="1">IF(MOD(COLUMN(INDIRECT(B25&amp;1)),2)=1,IF(MOD(C25,2)=1,$F$1,$F$2),IF(MOD(C25,2)=1,$H$1,$H$2))</f>
        <v>0</v>
      </c>
      <c r="J25" s="16"/>
      <c r="K25" s="5"/>
    </row>
    <row r="26" spans="1:11" x14ac:dyDescent="0.3">
      <c r="A26" s="2" t="s">
        <v>63</v>
      </c>
      <c r="B26" s="2" t="s">
        <v>20</v>
      </c>
      <c r="C26" s="2" t="s">
        <v>64</v>
      </c>
      <c r="D26" s="11">
        <f>Names!$W$2</f>
        <v>0</v>
      </c>
      <c r="E26" s="2" t="str">
        <f t="shared" si="0"/>
        <v/>
      </c>
      <c r="F26" s="11">
        <f t="shared" si="1"/>
        <v>0</v>
      </c>
      <c r="G26" s="11">
        <f>Concentrations!$W$2</f>
        <v>0</v>
      </c>
      <c r="H26" s="2" t="s">
        <v>22</v>
      </c>
      <c r="I26" s="2" cm="1">
        <f t="array" aca="1" ref="I26" ca="1">IF(MOD(COLUMN(INDIRECT(B26&amp;1)),2)=1,IF(MOD(C26,2)=1,$F$1,$F$2),IF(MOD(C26,2)=1,$H$1,$H$2))</f>
        <v>0</v>
      </c>
      <c r="J26" s="16"/>
      <c r="K26" s="5"/>
    </row>
    <row r="27" spans="1:11" x14ac:dyDescent="0.3">
      <c r="A27" s="2" t="s">
        <v>65</v>
      </c>
      <c r="B27" s="2" t="s">
        <v>20</v>
      </c>
      <c r="C27" s="2" t="s">
        <v>66</v>
      </c>
      <c r="D27" s="11" t="str">
        <f>Names!$X$2</f>
        <v>DMSO</v>
      </c>
      <c r="E27" s="2" t="str">
        <f t="shared" si="0"/>
        <v/>
      </c>
      <c r="F27" s="11" t="str">
        <f t="shared" si="1"/>
        <v>DMSO</v>
      </c>
      <c r="G27" s="11">
        <f>Concentrations!$X$2</f>
        <v>0</v>
      </c>
      <c r="H27" s="2" t="s">
        <v>22</v>
      </c>
      <c r="I27" s="2" cm="1">
        <f t="array" aca="1" ref="I27" ca="1">IF(MOD(COLUMN(INDIRECT(B27&amp;1)),2)=1,IF(MOD(C27,2)=1,$F$1,$F$2),IF(MOD(C27,2)=1,$H$1,$H$2))</f>
        <v>0</v>
      </c>
      <c r="J27" s="16"/>
      <c r="K27" s="5"/>
    </row>
    <row r="28" spans="1:11" x14ac:dyDescent="0.3">
      <c r="A28" s="2" t="s">
        <v>67</v>
      </c>
      <c r="B28" s="2" t="s">
        <v>20</v>
      </c>
      <c r="C28" s="2" t="s">
        <v>68</v>
      </c>
      <c r="D28" s="11" t="str">
        <f>Names!$Y$2</f>
        <v>DMSO</v>
      </c>
      <c r="E28" s="2" t="str">
        <f t="shared" si="0"/>
        <v/>
      </c>
      <c r="F28" s="11" t="str">
        <f t="shared" si="1"/>
        <v>DMSO</v>
      </c>
      <c r="G28" s="11">
        <f>Concentrations!$Y$2</f>
        <v>0</v>
      </c>
      <c r="H28" s="2" t="s">
        <v>22</v>
      </c>
      <c r="I28" s="2" cm="1">
        <f t="array" aca="1" ref="I28" ca="1">IF(MOD(COLUMN(INDIRECT(B28&amp;1)),2)=1,IF(MOD(C28,2)=1,$F$1,$F$2),IF(MOD(C28,2)=1,$H$1,$H$2))</f>
        <v>0</v>
      </c>
      <c r="J28" s="16"/>
      <c r="K28" s="5"/>
    </row>
    <row r="29" spans="1:11" x14ac:dyDescent="0.3">
      <c r="A29" s="2" t="s">
        <v>69</v>
      </c>
      <c r="B29" s="2" t="s">
        <v>70</v>
      </c>
      <c r="C29" s="2" t="s">
        <v>21</v>
      </c>
      <c r="D29" s="11" t="str">
        <f>Names!$B$3</f>
        <v>Emetine dihydrochloride</v>
      </c>
      <c r="E29" s="2" t="str">
        <f t="shared" si="0"/>
        <v/>
      </c>
      <c r="F29" s="11" t="str">
        <f t="shared" si="1"/>
        <v>Emetine dihydrochloride</v>
      </c>
      <c r="G29" s="11">
        <f>Concentrations!$B$3</f>
        <v>5</v>
      </c>
      <c r="H29" s="2" t="s">
        <v>122</v>
      </c>
      <c r="I29" s="2" cm="1">
        <f t="array" aca="1" ref="I29" ca="1">IF(MOD(COLUMN(INDIRECT(B29&amp;1)),2)=1,IF(MOD(C29,2)=1,$F$1,$F$2),IF(MOD(C29,2)=1,$H$1,$H$2))</f>
        <v>0</v>
      </c>
      <c r="J29" s="16"/>
      <c r="K29" s="5"/>
    </row>
    <row r="30" spans="1:11" x14ac:dyDescent="0.3">
      <c r="A30" s="2" t="s">
        <v>71</v>
      </c>
      <c r="B30" s="2" t="s">
        <v>70</v>
      </c>
      <c r="C30" s="2" t="s">
        <v>24</v>
      </c>
      <c r="D30" s="11" t="str">
        <f>Names!$C$3</f>
        <v>Cyclohexamide</v>
      </c>
      <c r="E30" s="2" t="str">
        <f t="shared" si="0"/>
        <v/>
      </c>
      <c r="F30" s="11" t="str">
        <f t="shared" si="1"/>
        <v>Cyclohexamide</v>
      </c>
      <c r="G30" s="11">
        <f>Concentrations!$C$3</f>
        <v>1</v>
      </c>
      <c r="H30" s="2" t="s">
        <v>122</v>
      </c>
      <c r="I30" s="2" cm="1">
        <f t="array" aca="1" ref="I30" ca="1">IF(MOD(COLUMN(INDIRECT(B30&amp;1)),2)=1,IF(MOD(C30,2)=1,$F$1,$F$2),IF(MOD(C30,2)=1,$H$1,$H$2))</f>
        <v>0</v>
      </c>
      <c r="J30" s="16"/>
      <c r="K30" s="5"/>
    </row>
    <row r="31" spans="1:11" x14ac:dyDescent="0.3">
      <c r="A31" s="2" t="s">
        <v>72</v>
      </c>
      <c r="B31" s="2" t="s">
        <v>70</v>
      </c>
      <c r="C31" s="2" t="s">
        <v>26</v>
      </c>
      <c r="D31" s="11">
        <f>Names!$D$3</f>
        <v>0</v>
      </c>
      <c r="E31" s="2" t="str">
        <f t="shared" si="0"/>
        <v/>
      </c>
      <c r="F31" s="11">
        <f t="shared" si="1"/>
        <v>0</v>
      </c>
      <c r="G31" s="11">
        <f>Concentrations!$D$3</f>
        <v>0</v>
      </c>
      <c r="H31" s="2" t="s">
        <v>122</v>
      </c>
      <c r="I31" s="2" cm="1">
        <f t="array" aca="1" ref="I31" ca="1">IF(MOD(COLUMN(INDIRECT(B31&amp;1)),2)=1,IF(MOD(C31,2)=1,$F$1,$F$2),IF(MOD(C31,2)=1,$H$1,$H$2))</f>
        <v>0</v>
      </c>
      <c r="J31" s="16"/>
      <c r="K31" s="5"/>
    </row>
    <row r="32" spans="1:11" x14ac:dyDescent="0.3">
      <c r="A32" s="2" t="s">
        <v>73</v>
      </c>
      <c r="B32" s="2" t="s">
        <v>70</v>
      </c>
      <c r="C32" s="2" t="s">
        <v>28</v>
      </c>
      <c r="D32" s="11">
        <f>Names!$E$3</f>
        <v>0</v>
      </c>
      <c r="E32" s="2" t="str">
        <f t="shared" si="0"/>
        <v/>
      </c>
      <c r="F32" s="11">
        <f t="shared" si="1"/>
        <v>0</v>
      </c>
      <c r="G32" s="11">
        <f>Concentrations!$E$3</f>
        <v>0</v>
      </c>
      <c r="H32" s="2" t="s">
        <v>122</v>
      </c>
      <c r="I32" s="2" cm="1">
        <f t="array" aca="1" ref="I32" ca="1">IF(MOD(COLUMN(INDIRECT(B32&amp;1)),2)=1,IF(MOD(C32,2)=1,$F$1,$F$2),IF(MOD(C32,2)=1,$H$1,$H$2))</f>
        <v>0</v>
      </c>
      <c r="J32" s="16"/>
      <c r="K32" s="5"/>
    </row>
    <row r="33" spans="1:11" x14ac:dyDescent="0.3">
      <c r="A33" s="2" t="s">
        <v>74</v>
      </c>
      <c r="B33" s="2" t="s">
        <v>70</v>
      </c>
      <c r="C33" s="2" t="s">
        <v>30</v>
      </c>
      <c r="D33" s="11">
        <f>Names!$F$3</f>
        <v>0</v>
      </c>
      <c r="E33" s="2" t="str">
        <f t="shared" si="0"/>
        <v/>
      </c>
      <c r="F33" s="11">
        <f t="shared" si="1"/>
        <v>0</v>
      </c>
      <c r="G33" s="11">
        <f>Concentrations!$F$3</f>
        <v>0</v>
      </c>
      <c r="H33" s="2" t="s">
        <v>22</v>
      </c>
      <c r="I33" s="2" cm="1">
        <f t="array" aca="1" ref="I33" ca="1">IF(MOD(COLUMN(INDIRECT(B33&amp;1)),2)=1,IF(MOD(C33,2)=1,$F$1,$F$2),IF(MOD(C33,2)=1,$H$1,$H$2))</f>
        <v>0</v>
      </c>
      <c r="J33" s="16"/>
      <c r="K33" s="5"/>
    </row>
    <row r="34" spans="1:11" x14ac:dyDescent="0.3">
      <c r="A34" s="2" t="s">
        <v>75</v>
      </c>
      <c r="B34" s="2" t="s">
        <v>70</v>
      </c>
      <c r="C34" s="2" t="s">
        <v>32</v>
      </c>
      <c r="D34" s="11">
        <f>Names!$G$3</f>
        <v>0</v>
      </c>
      <c r="E34" s="2" t="str">
        <f t="shared" si="0"/>
        <v/>
      </c>
      <c r="F34" s="11">
        <f t="shared" si="1"/>
        <v>0</v>
      </c>
      <c r="G34" s="11">
        <f>Concentrations!$G$3</f>
        <v>0</v>
      </c>
      <c r="H34" s="2" t="s">
        <v>22</v>
      </c>
      <c r="I34" s="2" cm="1">
        <f t="array" aca="1" ref="I34" ca="1">IF(MOD(COLUMN(INDIRECT(B34&amp;1)),2)=1,IF(MOD(C34,2)=1,$F$1,$F$2),IF(MOD(C34,2)=1,$H$1,$H$2))</f>
        <v>0</v>
      </c>
      <c r="J34" s="16"/>
      <c r="K34" s="5"/>
    </row>
    <row r="35" spans="1:11" x14ac:dyDescent="0.3">
      <c r="A35" s="2" t="s">
        <v>76</v>
      </c>
      <c r="B35" s="2" t="s">
        <v>70</v>
      </c>
      <c r="C35" s="2" t="s">
        <v>34</v>
      </c>
      <c r="D35" s="11">
        <f>Names!$H$3</f>
        <v>0</v>
      </c>
      <c r="E35" s="2" t="str">
        <f t="shared" si="0"/>
        <v/>
      </c>
      <c r="F35" s="11">
        <f t="shared" si="1"/>
        <v>0</v>
      </c>
      <c r="G35" s="11">
        <f>Concentrations!$H$3</f>
        <v>0</v>
      </c>
      <c r="H35" s="2" t="s">
        <v>22</v>
      </c>
      <c r="I35" s="2" cm="1">
        <f t="array" aca="1" ref="I35" ca="1">IF(MOD(COLUMN(INDIRECT(B35&amp;1)),2)=1,IF(MOD(C35,2)=1,$F$1,$F$2),IF(MOD(C35,2)=1,$H$1,$H$2))</f>
        <v>0</v>
      </c>
      <c r="J35" s="16"/>
      <c r="K35" s="5"/>
    </row>
    <row r="36" spans="1:11" x14ac:dyDescent="0.3">
      <c r="A36" s="2" t="s">
        <v>77</v>
      </c>
      <c r="B36" s="2" t="s">
        <v>70</v>
      </c>
      <c r="C36" s="2" t="s">
        <v>36</v>
      </c>
      <c r="D36" s="11">
        <f>Names!$I$3</f>
        <v>0</v>
      </c>
      <c r="E36" s="2" t="str">
        <f t="shared" si="0"/>
        <v/>
      </c>
      <c r="F36" s="11">
        <f t="shared" si="1"/>
        <v>0</v>
      </c>
      <c r="G36" s="11">
        <f>Concentrations!$I$3</f>
        <v>0</v>
      </c>
      <c r="H36" s="2" t="s">
        <v>22</v>
      </c>
      <c r="I36" s="2" cm="1">
        <f t="array" aca="1" ref="I36" ca="1">IF(MOD(COLUMN(INDIRECT(B36&amp;1)),2)=1,IF(MOD(C36,2)=1,$F$1,$F$2),IF(MOD(C36,2)=1,$H$1,$H$2))</f>
        <v>0</v>
      </c>
      <c r="J36" s="16"/>
      <c r="K36" s="5"/>
    </row>
    <row r="37" spans="1:11" x14ac:dyDescent="0.3">
      <c r="A37" s="2" t="s">
        <v>78</v>
      </c>
      <c r="B37" s="2" t="s">
        <v>70</v>
      </c>
      <c r="C37" s="2" t="s">
        <v>38</v>
      </c>
      <c r="D37" s="11">
        <f>Names!$J$3</f>
        <v>0</v>
      </c>
      <c r="E37" s="2" t="str">
        <f t="shared" si="0"/>
        <v/>
      </c>
      <c r="F37" s="11">
        <f t="shared" si="1"/>
        <v>0</v>
      </c>
      <c r="G37" s="11">
        <f>Concentrations!$J$3</f>
        <v>0</v>
      </c>
      <c r="H37" s="2" t="s">
        <v>22</v>
      </c>
      <c r="I37" s="2" cm="1">
        <f t="array" aca="1" ref="I37" ca="1">IF(MOD(COLUMN(INDIRECT(B37&amp;1)),2)=1,IF(MOD(C37,2)=1,$F$1,$F$2),IF(MOD(C37,2)=1,$H$1,$H$2))</f>
        <v>0</v>
      </c>
      <c r="J37" s="16"/>
      <c r="K37" s="5"/>
    </row>
    <row r="38" spans="1:11" x14ac:dyDescent="0.3">
      <c r="A38" s="2" t="s">
        <v>79</v>
      </c>
      <c r="B38" s="2" t="s">
        <v>70</v>
      </c>
      <c r="C38" s="2" t="s">
        <v>40</v>
      </c>
      <c r="D38" s="11">
        <f>Names!$K$3</f>
        <v>0</v>
      </c>
      <c r="E38" s="2" t="str">
        <f t="shared" si="0"/>
        <v/>
      </c>
      <c r="F38" s="11">
        <f t="shared" si="1"/>
        <v>0</v>
      </c>
      <c r="G38" s="11">
        <f>Concentrations!$K$3</f>
        <v>0</v>
      </c>
      <c r="H38" s="2" t="s">
        <v>22</v>
      </c>
      <c r="I38" s="2" cm="1">
        <f t="array" aca="1" ref="I38" ca="1">IF(MOD(COLUMN(INDIRECT(B38&amp;1)),2)=1,IF(MOD(C38,2)=1,$F$1,$F$2),IF(MOD(C38,2)=1,$H$1,$H$2))</f>
        <v>0</v>
      </c>
      <c r="J38" s="16"/>
      <c r="K38" s="5"/>
    </row>
    <row r="39" spans="1:11" x14ac:dyDescent="0.3">
      <c r="A39" s="2" t="s">
        <v>80</v>
      </c>
      <c r="B39" s="2" t="s">
        <v>70</v>
      </c>
      <c r="C39" s="2" t="s">
        <v>42</v>
      </c>
      <c r="D39" s="11">
        <f>Names!$L$3</f>
        <v>0</v>
      </c>
      <c r="E39" s="2" t="str">
        <f t="shared" si="0"/>
        <v/>
      </c>
      <c r="F39" s="11">
        <f t="shared" si="1"/>
        <v>0</v>
      </c>
      <c r="G39" s="11">
        <f>Concentrations!$L$3</f>
        <v>0</v>
      </c>
      <c r="H39" s="2" t="s">
        <v>22</v>
      </c>
      <c r="I39" s="2" cm="1">
        <f t="array" aca="1" ref="I39" ca="1">IF(MOD(COLUMN(INDIRECT(B39&amp;1)),2)=1,IF(MOD(C39,2)=1,$F$1,$F$2),IF(MOD(C39,2)=1,$H$1,$H$2))</f>
        <v>0</v>
      </c>
      <c r="J39" s="16"/>
      <c r="K39" s="5"/>
    </row>
    <row r="40" spans="1:11" x14ac:dyDescent="0.3">
      <c r="A40" s="2" t="s">
        <v>81</v>
      </c>
      <c r="B40" s="2" t="s">
        <v>70</v>
      </c>
      <c r="C40" s="2" t="s">
        <v>44</v>
      </c>
      <c r="D40" s="11">
        <f>Names!$M$3</f>
        <v>0</v>
      </c>
      <c r="E40" s="2" t="str">
        <f t="shared" si="0"/>
        <v/>
      </c>
      <c r="F40" s="11">
        <f t="shared" si="1"/>
        <v>0</v>
      </c>
      <c r="G40" s="11">
        <f>Concentrations!$M$3</f>
        <v>0</v>
      </c>
      <c r="H40" s="2" t="s">
        <v>22</v>
      </c>
      <c r="I40" s="2" cm="1">
        <f t="array" aca="1" ref="I40" ca="1">IF(MOD(COLUMN(INDIRECT(B40&amp;1)),2)=1,IF(MOD(C40,2)=1,$F$1,$F$2),IF(MOD(C40,2)=1,$H$1,$H$2))</f>
        <v>0</v>
      </c>
      <c r="J40" s="16"/>
      <c r="K40" s="5"/>
    </row>
    <row r="41" spans="1:11" x14ac:dyDescent="0.3">
      <c r="A41" s="2" t="s">
        <v>82</v>
      </c>
      <c r="B41" s="2" t="s">
        <v>70</v>
      </c>
      <c r="C41" s="2" t="s">
        <v>46</v>
      </c>
      <c r="D41" s="11">
        <f>Names!$N$3</f>
        <v>0</v>
      </c>
      <c r="E41" s="2" t="str">
        <f t="shared" si="0"/>
        <v/>
      </c>
      <c r="F41" s="11">
        <f t="shared" si="1"/>
        <v>0</v>
      </c>
      <c r="G41" s="11">
        <f>Concentrations!$N$3</f>
        <v>0</v>
      </c>
      <c r="H41" s="2" t="s">
        <v>22</v>
      </c>
      <c r="I41" s="2" cm="1">
        <f t="array" aca="1" ref="I41" ca="1">IF(MOD(COLUMN(INDIRECT(B41&amp;1)),2)=1,IF(MOD(C41,2)=1,$F$1,$F$2),IF(MOD(C41,2)=1,$H$1,$H$2))</f>
        <v>0</v>
      </c>
      <c r="J41" s="16"/>
      <c r="K41" s="5"/>
    </row>
    <row r="42" spans="1:11" x14ac:dyDescent="0.3">
      <c r="A42" s="2" t="s">
        <v>83</v>
      </c>
      <c r="B42" s="2" t="s">
        <v>70</v>
      </c>
      <c r="C42" s="2" t="s">
        <v>48</v>
      </c>
      <c r="D42" s="11">
        <f>Names!$O$3</f>
        <v>0</v>
      </c>
      <c r="E42" s="2" t="str">
        <f t="shared" si="0"/>
        <v/>
      </c>
      <c r="F42" s="11">
        <f t="shared" si="1"/>
        <v>0</v>
      </c>
      <c r="G42" s="11">
        <f>Concentrations!$O$3</f>
        <v>0</v>
      </c>
      <c r="H42" s="2" t="s">
        <v>22</v>
      </c>
      <c r="I42" s="2" cm="1">
        <f t="array" aca="1" ref="I42" ca="1">IF(MOD(COLUMN(INDIRECT(B42&amp;1)),2)=1,IF(MOD(C42,2)=1,$F$1,$F$2),IF(MOD(C42,2)=1,$H$1,$H$2))</f>
        <v>0</v>
      </c>
      <c r="J42" s="16"/>
      <c r="K42" s="5"/>
    </row>
    <row r="43" spans="1:11" x14ac:dyDescent="0.3">
      <c r="A43" s="2" t="s">
        <v>84</v>
      </c>
      <c r="B43" s="2" t="s">
        <v>70</v>
      </c>
      <c r="C43" s="2" t="s">
        <v>50</v>
      </c>
      <c r="D43" s="11">
        <f>Names!$P$3</f>
        <v>0</v>
      </c>
      <c r="E43" s="2" t="str">
        <f t="shared" si="0"/>
        <v/>
      </c>
      <c r="F43" s="11">
        <f t="shared" si="1"/>
        <v>0</v>
      </c>
      <c r="G43" s="11">
        <f>Concentrations!$P$3</f>
        <v>0</v>
      </c>
      <c r="H43" s="2" t="s">
        <v>22</v>
      </c>
      <c r="I43" s="2" cm="1">
        <f t="array" aca="1" ref="I43" ca="1">IF(MOD(COLUMN(INDIRECT(B43&amp;1)),2)=1,IF(MOD(C43,2)=1,$F$1,$F$2),IF(MOD(C43,2)=1,$H$1,$H$2))</f>
        <v>0</v>
      </c>
      <c r="J43" s="16"/>
      <c r="K43" s="5"/>
    </row>
    <row r="44" spans="1:11" x14ac:dyDescent="0.3">
      <c r="A44" s="2" t="s">
        <v>85</v>
      </c>
      <c r="B44" s="2" t="s">
        <v>70</v>
      </c>
      <c r="C44" s="2" t="s">
        <v>52</v>
      </c>
      <c r="D44" s="11">
        <f>Names!$Q$3</f>
        <v>0</v>
      </c>
      <c r="E44" s="2" t="str">
        <f t="shared" si="0"/>
        <v/>
      </c>
      <c r="F44" s="11">
        <f t="shared" si="1"/>
        <v>0</v>
      </c>
      <c r="G44" s="11">
        <f>Concentrations!$Q$3</f>
        <v>0</v>
      </c>
      <c r="H44" s="2" t="s">
        <v>22</v>
      </c>
      <c r="I44" s="2" cm="1">
        <f t="array" aca="1" ref="I44" ca="1">IF(MOD(COLUMN(INDIRECT(B44&amp;1)),2)=1,IF(MOD(C44,2)=1,$F$1,$F$2),IF(MOD(C44,2)=1,$H$1,$H$2))</f>
        <v>0</v>
      </c>
      <c r="J44" s="16"/>
      <c r="K44" s="5"/>
    </row>
    <row r="45" spans="1:11" x14ac:dyDescent="0.3">
      <c r="A45" s="2" t="s">
        <v>86</v>
      </c>
      <c r="B45" s="2" t="s">
        <v>70</v>
      </c>
      <c r="C45" s="2" t="s">
        <v>54</v>
      </c>
      <c r="D45" s="11">
        <f>Names!$R$3</f>
        <v>0</v>
      </c>
      <c r="E45" s="2" t="str">
        <f t="shared" si="0"/>
        <v/>
      </c>
      <c r="F45" s="11">
        <f t="shared" si="1"/>
        <v>0</v>
      </c>
      <c r="G45" s="11">
        <f>Concentrations!$R$3</f>
        <v>0</v>
      </c>
      <c r="H45" s="2" t="s">
        <v>22</v>
      </c>
      <c r="I45" s="2" cm="1">
        <f t="array" aca="1" ref="I45" ca="1">IF(MOD(COLUMN(INDIRECT(B45&amp;1)),2)=1,IF(MOD(C45,2)=1,$F$1,$F$2),IF(MOD(C45,2)=1,$H$1,$H$2))</f>
        <v>0</v>
      </c>
      <c r="J45" s="16"/>
      <c r="K45" s="5"/>
    </row>
    <row r="46" spans="1:11" x14ac:dyDescent="0.3">
      <c r="A46" s="2" t="s">
        <v>87</v>
      </c>
      <c r="B46" s="2" t="s">
        <v>70</v>
      </c>
      <c r="C46" s="2" t="s">
        <v>56</v>
      </c>
      <c r="D46" s="11">
        <f>Names!$S$3</f>
        <v>0</v>
      </c>
      <c r="E46" s="2" t="str">
        <f t="shared" si="0"/>
        <v/>
      </c>
      <c r="F46" s="11">
        <f t="shared" si="1"/>
        <v>0</v>
      </c>
      <c r="G46" s="11">
        <f>Concentrations!$S$3</f>
        <v>0</v>
      </c>
      <c r="H46" s="2" t="s">
        <v>22</v>
      </c>
      <c r="I46" s="2" cm="1">
        <f t="array" aca="1" ref="I46" ca="1">IF(MOD(COLUMN(INDIRECT(B46&amp;1)),2)=1,IF(MOD(C46,2)=1,$F$1,$F$2),IF(MOD(C46,2)=1,$H$1,$H$2))</f>
        <v>0</v>
      </c>
      <c r="J46" s="16"/>
      <c r="K46" s="5"/>
    </row>
    <row r="47" spans="1:11" x14ac:dyDescent="0.3">
      <c r="A47" s="2" t="s">
        <v>88</v>
      </c>
      <c r="B47" s="2" t="s">
        <v>70</v>
      </c>
      <c r="C47" s="2" t="s">
        <v>58</v>
      </c>
      <c r="D47" s="11">
        <f>Names!$T$3</f>
        <v>0</v>
      </c>
      <c r="E47" s="2" t="str">
        <f t="shared" si="0"/>
        <v/>
      </c>
      <c r="F47" s="11">
        <f t="shared" si="1"/>
        <v>0</v>
      </c>
      <c r="G47" s="11">
        <f>Concentrations!$T$3</f>
        <v>0</v>
      </c>
      <c r="H47" s="2" t="s">
        <v>22</v>
      </c>
      <c r="I47" s="2" cm="1">
        <f t="array" aca="1" ref="I47" ca="1">IF(MOD(COLUMN(INDIRECT(B47&amp;1)),2)=1,IF(MOD(C47,2)=1,$F$1,$F$2),IF(MOD(C47,2)=1,$H$1,$H$2))</f>
        <v>0</v>
      </c>
      <c r="J47" s="16"/>
      <c r="K47" s="5"/>
    </row>
    <row r="48" spans="1:11" x14ac:dyDescent="0.3">
      <c r="A48" s="2" t="s">
        <v>89</v>
      </c>
      <c r="B48" s="2" t="s">
        <v>70</v>
      </c>
      <c r="C48" s="2" t="s">
        <v>60</v>
      </c>
      <c r="D48" s="11">
        <f>Names!$U$3</f>
        <v>0</v>
      </c>
      <c r="E48" s="2" t="str">
        <f t="shared" si="0"/>
        <v/>
      </c>
      <c r="F48" s="11">
        <f t="shared" si="1"/>
        <v>0</v>
      </c>
      <c r="G48" s="11">
        <f>Concentrations!$U$3</f>
        <v>0</v>
      </c>
      <c r="H48" s="2" t="s">
        <v>22</v>
      </c>
      <c r="I48" s="2" cm="1">
        <f t="array" aca="1" ref="I48" ca="1">IF(MOD(COLUMN(INDIRECT(B48&amp;1)),2)=1,IF(MOD(C48,2)=1,$F$1,$F$2),IF(MOD(C48,2)=1,$H$1,$H$2))</f>
        <v>0</v>
      </c>
      <c r="J48" s="16"/>
      <c r="K48" s="5"/>
    </row>
    <row r="49" spans="1:11" x14ac:dyDescent="0.3">
      <c r="A49" s="2" t="s">
        <v>90</v>
      </c>
      <c r="B49" s="2" t="s">
        <v>70</v>
      </c>
      <c r="C49" s="2" t="s">
        <v>62</v>
      </c>
      <c r="D49" s="11">
        <f>Names!$V$3</f>
        <v>0</v>
      </c>
      <c r="E49" s="2" t="str">
        <f t="shared" si="0"/>
        <v/>
      </c>
      <c r="F49" s="11">
        <f t="shared" si="1"/>
        <v>0</v>
      </c>
      <c r="G49" s="11">
        <f>Concentrations!$V$3</f>
        <v>0</v>
      </c>
      <c r="H49" s="2" t="s">
        <v>22</v>
      </c>
      <c r="I49" s="2" cm="1">
        <f t="array" aca="1" ref="I49" ca="1">IF(MOD(COLUMN(INDIRECT(B49&amp;1)),2)=1,IF(MOD(C49,2)=1,$F$1,$F$2),IF(MOD(C49,2)=1,$H$1,$H$2))</f>
        <v>0</v>
      </c>
      <c r="J49" s="16"/>
      <c r="K49" s="5"/>
    </row>
    <row r="50" spans="1:11" x14ac:dyDescent="0.3">
      <c r="A50" s="2" t="s">
        <v>91</v>
      </c>
      <c r="B50" s="2" t="s">
        <v>70</v>
      </c>
      <c r="C50" s="2" t="s">
        <v>64</v>
      </c>
      <c r="D50" s="11">
        <f>Names!$W$3</f>
        <v>0</v>
      </c>
      <c r="E50" s="2" t="str">
        <f t="shared" si="0"/>
        <v/>
      </c>
      <c r="F50" s="11">
        <f t="shared" si="1"/>
        <v>0</v>
      </c>
      <c r="G50" s="11">
        <f>Concentrations!$W$3</f>
        <v>0</v>
      </c>
      <c r="H50" s="2" t="s">
        <v>22</v>
      </c>
      <c r="I50" s="2" cm="1">
        <f t="array" aca="1" ref="I50" ca="1">IF(MOD(COLUMN(INDIRECT(B50&amp;1)),2)=1,IF(MOD(C50,2)=1,$F$1,$F$2),IF(MOD(C50,2)=1,$H$1,$H$2))</f>
        <v>0</v>
      </c>
      <c r="J50" s="16"/>
      <c r="K50" s="5"/>
    </row>
    <row r="51" spans="1:11" x14ac:dyDescent="0.3">
      <c r="A51" s="2" t="s">
        <v>92</v>
      </c>
      <c r="B51" s="2" t="s">
        <v>70</v>
      </c>
      <c r="C51" s="2" t="s">
        <v>66</v>
      </c>
      <c r="D51" s="11" t="str">
        <f>Names!$X$3</f>
        <v>DMSO</v>
      </c>
      <c r="E51" s="2" t="str">
        <f t="shared" si="0"/>
        <v/>
      </c>
      <c r="F51" s="11" t="str">
        <f t="shared" si="1"/>
        <v>DMSO</v>
      </c>
      <c r="G51" s="11">
        <f>Concentrations!$X$3</f>
        <v>0</v>
      </c>
      <c r="H51" s="2" t="s">
        <v>22</v>
      </c>
      <c r="I51" s="2" cm="1">
        <f t="array" aca="1" ref="I51" ca="1">IF(MOD(COLUMN(INDIRECT(B51&amp;1)),2)=1,IF(MOD(C51,2)=1,$F$1,$F$2),IF(MOD(C51,2)=1,$H$1,$H$2))</f>
        <v>0</v>
      </c>
      <c r="J51" s="16"/>
      <c r="K51" s="5"/>
    </row>
    <row r="52" spans="1:11" x14ac:dyDescent="0.3">
      <c r="A52" s="2" t="s">
        <v>93</v>
      </c>
      <c r="B52" s="2" t="s">
        <v>70</v>
      </c>
      <c r="C52" s="2" t="s">
        <v>68</v>
      </c>
      <c r="D52" s="11" t="str">
        <f>Names!$Y$3</f>
        <v>DMSO</v>
      </c>
      <c r="E52" s="2" t="str">
        <f t="shared" si="0"/>
        <v/>
      </c>
      <c r="F52" s="11" t="str">
        <f t="shared" si="1"/>
        <v>DMSO</v>
      </c>
      <c r="G52" s="11">
        <f>Concentrations!$Y$3</f>
        <v>0</v>
      </c>
      <c r="H52" s="2" t="s">
        <v>22</v>
      </c>
      <c r="I52" s="2" cm="1">
        <f t="array" aca="1" ref="I52" ca="1">IF(MOD(COLUMN(INDIRECT(B52&amp;1)),2)=1,IF(MOD(C52,2)=1,$F$1,$F$2),IF(MOD(C52,2)=1,$H$1,$H$2))</f>
        <v>0</v>
      </c>
      <c r="J52" s="16"/>
      <c r="K52" s="5"/>
    </row>
    <row r="53" spans="1:11" x14ac:dyDescent="0.3">
      <c r="A53" s="2" t="s">
        <v>94</v>
      </c>
      <c r="B53" s="2" t="s">
        <v>95</v>
      </c>
      <c r="C53" s="2" t="s">
        <v>21</v>
      </c>
      <c r="D53" s="11" t="str">
        <f>Names!$B$4</f>
        <v>DMSO</v>
      </c>
      <c r="E53" s="2" t="str">
        <f t="shared" si="0"/>
        <v/>
      </c>
      <c r="F53" s="11" t="str">
        <f t="shared" si="1"/>
        <v>DMSO</v>
      </c>
      <c r="G53" s="11">
        <f>Concentrations!$B$4</f>
        <v>0</v>
      </c>
      <c r="H53" s="2" t="s">
        <v>22</v>
      </c>
      <c r="I53" s="2" cm="1">
        <f t="array" aca="1" ref="I53" ca="1">IF(MOD(COLUMN(INDIRECT(B53&amp;1)),2)=1,IF(MOD(C53,2)=1,$F$1,$F$2),IF(MOD(C53,2)=1,$H$1,$H$2))</f>
        <v>0</v>
      </c>
      <c r="J53" s="16"/>
      <c r="K53" s="5"/>
    </row>
    <row r="54" spans="1:11" x14ac:dyDescent="0.3">
      <c r="A54" s="2" t="s">
        <v>96</v>
      </c>
      <c r="B54" s="2" t="s">
        <v>95</v>
      </c>
      <c r="C54" s="2" t="s">
        <v>24</v>
      </c>
      <c r="D54" s="11" t="str">
        <f>Names!$C$4</f>
        <v>DMSO</v>
      </c>
      <c r="E54" s="2" t="str">
        <f t="shared" si="0"/>
        <v/>
      </c>
      <c r="F54" s="11" t="str">
        <f t="shared" si="1"/>
        <v>DMSO</v>
      </c>
      <c r="G54" s="11">
        <f>Concentrations!$C$4</f>
        <v>0</v>
      </c>
      <c r="H54" s="2" t="s">
        <v>22</v>
      </c>
      <c r="I54" s="2" cm="1">
        <f t="array" aca="1" ref="I54" ca="1">IF(MOD(COLUMN(INDIRECT(B54&amp;1)),2)=1,IF(MOD(C54,2)=1,$F$1,$F$2),IF(MOD(C54,2)=1,$H$1,$H$2))</f>
        <v>0</v>
      </c>
      <c r="J54" s="16"/>
      <c r="K54" s="5"/>
    </row>
    <row r="55" spans="1:11" x14ac:dyDescent="0.3">
      <c r="A55" s="2" t="s">
        <v>97</v>
      </c>
      <c r="B55" s="2" t="s">
        <v>95</v>
      </c>
      <c r="C55" s="2" t="s">
        <v>26</v>
      </c>
      <c r="D55" s="11">
        <f>Names!$D$4</f>
        <v>0</v>
      </c>
      <c r="E55" s="2" t="str">
        <f t="shared" si="0"/>
        <v/>
      </c>
      <c r="F55" s="11">
        <f t="shared" si="1"/>
        <v>0</v>
      </c>
      <c r="G55" s="11">
        <f>Concentrations!$D$4</f>
        <v>0</v>
      </c>
      <c r="H55" s="2" t="s">
        <v>22</v>
      </c>
      <c r="I55" s="2" cm="1">
        <f t="array" aca="1" ref="I55" ca="1">IF(MOD(COLUMN(INDIRECT(B55&amp;1)),2)=1,IF(MOD(C55,2)=1,$F$1,$F$2),IF(MOD(C55,2)=1,$H$1,$H$2))</f>
        <v>0</v>
      </c>
      <c r="J55" s="16"/>
      <c r="K55" s="5"/>
    </row>
    <row r="56" spans="1:11" x14ac:dyDescent="0.3">
      <c r="A56" s="2" t="s">
        <v>98</v>
      </c>
      <c r="B56" s="2" t="s">
        <v>95</v>
      </c>
      <c r="C56" s="2" t="s">
        <v>28</v>
      </c>
      <c r="D56" s="11">
        <f>Names!$E$4</f>
        <v>0</v>
      </c>
      <c r="E56" s="2" t="str">
        <f t="shared" si="0"/>
        <v/>
      </c>
      <c r="F56" s="11">
        <f t="shared" si="1"/>
        <v>0</v>
      </c>
      <c r="G56" s="11">
        <f>Concentrations!$E$4</f>
        <v>0</v>
      </c>
      <c r="H56" s="2" t="s">
        <v>22</v>
      </c>
      <c r="I56" s="2" cm="1">
        <f t="array" aca="1" ref="I56" ca="1">IF(MOD(COLUMN(INDIRECT(B56&amp;1)),2)=1,IF(MOD(C56,2)=1,$F$1,$F$2),IF(MOD(C56,2)=1,$H$1,$H$2))</f>
        <v>0</v>
      </c>
      <c r="J56" s="16"/>
      <c r="K56" s="5"/>
    </row>
    <row r="57" spans="1:11" x14ac:dyDescent="0.3">
      <c r="A57" s="2" t="s">
        <v>99</v>
      </c>
      <c r="B57" s="2" t="s">
        <v>95</v>
      </c>
      <c r="C57" s="2" t="s">
        <v>30</v>
      </c>
      <c r="D57" s="11">
        <f>Names!$F$4</f>
        <v>0</v>
      </c>
      <c r="E57" s="2" t="str">
        <f t="shared" si="0"/>
        <v/>
      </c>
      <c r="F57" s="11">
        <f t="shared" si="1"/>
        <v>0</v>
      </c>
      <c r="G57" s="11">
        <f>Concentrations!$F$4</f>
        <v>0</v>
      </c>
      <c r="H57" s="2" t="s">
        <v>22</v>
      </c>
      <c r="I57" s="2" cm="1">
        <f t="array" aca="1" ref="I57" ca="1">IF(MOD(COLUMN(INDIRECT(B57&amp;1)),2)=1,IF(MOD(C57,2)=1,$F$1,$F$2),IF(MOD(C57,2)=1,$H$1,$H$2))</f>
        <v>0</v>
      </c>
      <c r="J57" s="16"/>
      <c r="K57" s="5"/>
    </row>
    <row r="58" spans="1:11" x14ac:dyDescent="0.3">
      <c r="A58" s="2" t="s">
        <v>100</v>
      </c>
      <c r="B58" s="2" t="s">
        <v>95</v>
      </c>
      <c r="C58" s="2" t="s">
        <v>32</v>
      </c>
      <c r="D58" s="11">
        <f>Names!$G$4</f>
        <v>0</v>
      </c>
      <c r="E58" s="2" t="str">
        <f t="shared" si="0"/>
        <v/>
      </c>
      <c r="F58" s="11">
        <f t="shared" si="1"/>
        <v>0</v>
      </c>
      <c r="G58" s="11">
        <f>Concentrations!$G$4</f>
        <v>0</v>
      </c>
      <c r="H58" s="2" t="s">
        <v>22</v>
      </c>
      <c r="I58" s="2" cm="1">
        <f t="array" aca="1" ref="I58" ca="1">IF(MOD(COLUMN(INDIRECT(B58&amp;1)),2)=1,IF(MOD(C58,2)=1,$F$1,$F$2),IF(MOD(C58,2)=1,$H$1,$H$2))</f>
        <v>0</v>
      </c>
      <c r="J58" s="16"/>
      <c r="K58" s="5"/>
    </row>
    <row r="59" spans="1:11" x14ac:dyDescent="0.3">
      <c r="A59" s="2" t="s">
        <v>101</v>
      </c>
      <c r="B59" s="2" t="s">
        <v>95</v>
      </c>
      <c r="C59" s="2" t="s">
        <v>34</v>
      </c>
      <c r="D59" s="11">
        <f>Names!$H$4</f>
        <v>0</v>
      </c>
      <c r="E59" s="2" t="str">
        <f t="shared" si="0"/>
        <v/>
      </c>
      <c r="F59" s="11">
        <f t="shared" si="1"/>
        <v>0</v>
      </c>
      <c r="G59" s="11">
        <f>Concentrations!$H$4</f>
        <v>0</v>
      </c>
      <c r="H59" s="2" t="s">
        <v>22</v>
      </c>
      <c r="I59" s="2" cm="1">
        <f t="array" aca="1" ref="I59" ca="1">IF(MOD(COLUMN(INDIRECT(B59&amp;1)),2)=1,IF(MOD(C59,2)=1,$F$1,$F$2),IF(MOD(C59,2)=1,$H$1,$H$2))</f>
        <v>0</v>
      </c>
      <c r="J59" s="16"/>
      <c r="K59" s="5"/>
    </row>
    <row r="60" spans="1:11" x14ac:dyDescent="0.3">
      <c r="A60" s="2" t="s">
        <v>102</v>
      </c>
      <c r="B60" s="2" t="s">
        <v>95</v>
      </c>
      <c r="C60" s="2" t="s">
        <v>36</v>
      </c>
      <c r="D60" s="11">
        <f>Names!$I$4</f>
        <v>0</v>
      </c>
      <c r="E60" s="2" t="str">
        <f t="shared" si="0"/>
        <v/>
      </c>
      <c r="F60" s="11">
        <f t="shared" si="1"/>
        <v>0</v>
      </c>
      <c r="G60" s="11">
        <f>Concentrations!$I$4</f>
        <v>0</v>
      </c>
      <c r="H60" s="2" t="s">
        <v>22</v>
      </c>
      <c r="I60" s="2" cm="1">
        <f t="array" aca="1" ref="I60" ca="1">IF(MOD(COLUMN(INDIRECT(B60&amp;1)),2)=1,IF(MOD(C60,2)=1,$F$1,$F$2),IF(MOD(C60,2)=1,$H$1,$H$2))</f>
        <v>0</v>
      </c>
      <c r="J60" s="16"/>
      <c r="K60" s="5"/>
    </row>
    <row r="61" spans="1:11" x14ac:dyDescent="0.3">
      <c r="A61" s="2" t="s">
        <v>103</v>
      </c>
      <c r="B61" s="2" t="s">
        <v>95</v>
      </c>
      <c r="C61" s="2" t="s">
        <v>38</v>
      </c>
      <c r="D61" s="11">
        <f>Names!$J$4</f>
        <v>0</v>
      </c>
      <c r="E61" s="2" t="str">
        <f t="shared" si="0"/>
        <v/>
      </c>
      <c r="F61" s="11">
        <f t="shared" si="1"/>
        <v>0</v>
      </c>
      <c r="G61" s="11">
        <f>Concentrations!$J$4</f>
        <v>0</v>
      </c>
      <c r="H61" s="2" t="s">
        <v>22</v>
      </c>
      <c r="I61" s="2" cm="1">
        <f t="array" aca="1" ref="I61" ca="1">IF(MOD(COLUMN(INDIRECT(B61&amp;1)),2)=1,IF(MOD(C61,2)=1,$F$1,$F$2),IF(MOD(C61,2)=1,$H$1,$H$2))</f>
        <v>0</v>
      </c>
      <c r="J61" s="16"/>
      <c r="K61" s="5"/>
    </row>
    <row r="62" spans="1:11" x14ac:dyDescent="0.3">
      <c r="A62" s="2" t="s">
        <v>104</v>
      </c>
      <c r="B62" s="2" t="s">
        <v>95</v>
      </c>
      <c r="C62" s="2" t="s">
        <v>40</v>
      </c>
      <c r="D62" s="11">
        <f>Names!$K$4</f>
        <v>0</v>
      </c>
      <c r="E62" s="2" t="str">
        <f t="shared" si="0"/>
        <v/>
      </c>
      <c r="F62" s="11">
        <f t="shared" si="1"/>
        <v>0</v>
      </c>
      <c r="G62" s="11">
        <f>Concentrations!$K$4</f>
        <v>0</v>
      </c>
      <c r="H62" s="2" t="s">
        <v>22</v>
      </c>
      <c r="I62" s="2" cm="1">
        <f t="array" aca="1" ref="I62" ca="1">IF(MOD(COLUMN(INDIRECT(B62&amp;1)),2)=1,IF(MOD(C62,2)=1,$F$1,$F$2),IF(MOD(C62,2)=1,$H$1,$H$2))</f>
        <v>0</v>
      </c>
      <c r="J62" s="16"/>
      <c r="K62" s="5"/>
    </row>
    <row r="63" spans="1:11" x14ac:dyDescent="0.3">
      <c r="A63" s="2" t="s">
        <v>105</v>
      </c>
      <c r="B63" s="2" t="s">
        <v>95</v>
      </c>
      <c r="C63" s="2" t="s">
        <v>42</v>
      </c>
      <c r="D63" s="11">
        <f>Names!$L$4</f>
        <v>0</v>
      </c>
      <c r="E63" s="2" t="str">
        <f t="shared" si="0"/>
        <v/>
      </c>
      <c r="F63" s="11">
        <f t="shared" si="1"/>
        <v>0</v>
      </c>
      <c r="G63" s="11">
        <f>Concentrations!$L$4</f>
        <v>0</v>
      </c>
      <c r="H63" s="2" t="s">
        <v>22</v>
      </c>
      <c r="I63" s="2" cm="1">
        <f t="array" aca="1" ref="I63" ca="1">IF(MOD(COLUMN(INDIRECT(B63&amp;1)),2)=1,IF(MOD(C63,2)=1,$F$1,$F$2),IF(MOD(C63,2)=1,$H$1,$H$2))</f>
        <v>0</v>
      </c>
      <c r="J63" s="16"/>
      <c r="K63" s="5"/>
    </row>
    <row r="64" spans="1:11" x14ac:dyDescent="0.3">
      <c r="A64" s="2" t="s">
        <v>106</v>
      </c>
      <c r="B64" s="2" t="s">
        <v>95</v>
      </c>
      <c r="C64" s="2" t="s">
        <v>44</v>
      </c>
      <c r="D64" s="11">
        <f>Names!$M$4</f>
        <v>0</v>
      </c>
      <c r="E64" s="2" t="str">
        <f t="shared" si="0"/>
        <v/>
      </c>
      <c r="F64" s="11">
        <f t="shared" si="1"/>
        <v>0</v>
      </c>
      <c r="G64" s="11">
        <f>Concentrations!$M$4</f>
        <v>0</v>
      </c>
      <c r="H64" s="2" t="s">
        <v>22</v>
      </c>
      <c r="I64" s="2" cm="1">
        <f t="array" aca="1" ref="I64" ca="1">IF(MOD(COLUMN(INDIRECT(B64&amp;1)),2)=1,IF(MOD(C64,2)=1,$F$1,$F$2),IF(MOD(C64,2)=1,$H$1,$H$2))</f>
        <v>0</v>
      </c>
      <c r="J64" s="16"/>
      <c r="K64" s="5"/>
    </row>
    <row r="65" spans="1:11" x14ac:dyDescent="0.3">
      <c r="A65" s="2" t="s">
        <v>107</v>
      </c>
      <c r="B65" s="2" t="s">
        <v>95</v>
      </c>
      <c r="C65" s="2" t="s">
        <v>46</v>
      </c>
      <c r="D65" s="11">
        <f>Names!$N$4</f>
        <v>0</v>
      </c>
      <c r="E65" s="2" t="str">
        <f t="shared" si="0"/>
        <v/>
      </c>
      <c r="F65" s="11">
        <f t="shared" si="1"/>
        <v>0</v>
      </c>
      <c r="G65" s="11">
        <f>Concentrations!$N$4</f>
        <v>0</v>
      </c>
      <c r="H65" s="2" t="s">
        <v>22</v>
      </c>
      <c r="I65" s="2" cm="1">
        <f t="array" aca="1" ref="I65" ca="1">IF(MOD(COLUMN(INDIRECT(B65&amp;1)),2)=1,IF(MOD(C65,2)=1,$F$1,$F$2),IF(MOD(C65,2)=1,$H$1,$H$2))</f>
        <v>0</v>
      </c>
      <c r="J65" s="16"/>
      <c r="K65" s="5"/>
    </row>
    <row r="66" spans="1:11" x14ac:dyDescent="0.3">
      <c r="A66" s="2" t="s">
        <v>108</v>
      </c>
      <c r="B66" s="2" t="s">
        <v>95</v>
      </c>
      <c r="C66" s="2" t="s">
        <v>48</v>
      </c>
      <c r="D66" s="11">
        <f>Names!$O$4</f>
        <v>0</v>
      </c>
      <c r="E66" s="2" t="str">
        <f t="shared" si="0"/>
        <v/>
      </c>
      <c r="F66" s="11">
        <f t="shared" si="1"/>
        <v>0</v>
      </c>
      <c r="G66" s="11">
        <f>Concentrations!$O$4</f>
        <v>0</v>
      </c>
      <c r="H66" s="2" t="s">
        <v>22</v>
      </c>
      <c r="I66" s="2" cm="1">
        <f t="array" aca="1" ref="I66" ca="1">IF(MOD(COLUMN(INDIRECT(B66&amp;1)),2)=1,IF(MOD(C66,2)=1,$F$1,$F$2),IF(MOD(C66,2)=1,$H$1,$H$2))</f>
        <v>0</v>
      </c>
      <c r="J66" s="16"/>
      <c r="K66" s="5"/>
    </row>
    <row r="67" spans="1:11" x14ac:dyDescent="0.3">
      <c r="A67" s="2" t="s">
        <v>109</v>
      </c>
      <c r="B67" s="2" t="s">
        <v>95</v>
      </c>
      <c r="C67" s="2" t="s">
        <v>50</v>
      </c>
      <c r="D67" s="11">
        <f>Names!$P$4</f>
        <v>0</v>
      </c>
      <c r="E67" s="2" t="str">
        <f t="shared" si="0"/>
        <v/>
      </c>
      <c r="F67" s="11">
        <f t="shared" si="1"/>
        <v>0</v>
      </c>
      <c r="G67" s="11">
        <f>Concentrations!$P$4</f>
        <v>0</v>
      </c>
      <c r="H67" s="2" t="s">
        <v>22</v>
      </c>
      <c r="I67" s="2" cm="1">
        <f t="array" aca="1" ref="I67" ca="1">IF(MOD(COLUMN(INDIRECT(B67&amp;1)),2)=1,IF(MOD(C67,2)=1,$F$1,$F$2),IF(MOD(C67,2)=1,$H$1,$H$2))</f>
        <v>0</v>
      </c>
      <c r="J67" s="16"/>
      <c r="K67" s="5"/>
    </row>
    <row r="68" spans="1:11" x14ac:dyDescent="0.3">
      <c r="A68" s="2" t="s">
        <v>110</v>
      </c>
      <c r="B68" s="2" t="s">
        <v>95</v>
      </c>
      <c r="C68" s="2" t="s">
        <v>52</v>
      </c>
      <c r="D68" s="11">
        <f>Names!$Q$4</f>
        <v>0</v>
      </c>
      <c r="E68" s="2" t="str">
        <f t="shared" si="0"/>
        <v/>
      </c>
      <c r="F68" s="11">
        <f t="shared" si="1"/>
        <v>0</v>
      </c>
      <c r="G68" s="11">
        <f>Concentrations!$Q$4</f>
        <v>0</v>
      </c>
      <c r="H68" s="2" t="s">
        <v>22</v>
      </c>
      <c r="I68" s="2" cm="1">
        <f t="array" aca="1" ref="I68" ca="1">IF(MOD(COLUMN(INDIRECT(B68&amp;1)),2)=1,IF(MOD(C68,2)=1,$F$1,$F$2),IF(MOD(C68,2)=1,$H$1,$H$2))</f>
        <v>0</v>
      </c>
      <c r="J68" s="16"/>
      <c r="K68" s="5"/>
    </row>
    <row r="69" spans="1:11" x14ac:dyDescent="0.3">
      <c r="A69" s="2" t="s">
        <v>111</v>
      </c>
      <c r="B69" s="2" t="s">
        <v>95</v>
      </c>
      <c r="C69" s="2" t="s">
        <v>54</v>
      </c>
      <c r="D69" s="11">
        <f>Names!$R$4</f>
        <v>0</v>
      </c>
      <c r="E69" s="2" t="str">
        <f t="shared" ref="E69:E132" si="2">IF(LEFT(D69,2)="KC",IF(_xlfn.CEILING.MATH(C69/2)-2&lt;1,"",_xlfn.CEILING.MATH(C69/2)-2),"")</f>
        <v/>
      </c>
      <c r="F69" s="11">
        <f t="shared" ref="F69:F132" si="3">IF(E69="",D69,_xlfn.CONCAT(D69,"_",E69))</f>
        <v>0</v>
      </c>
      <c r="G69" s="11">
        <f>Concentrations!$R$4</f>
        <v>0</v>
      </c>
      <c r="H69" s="2" t="s">
        <v>22</v>
      </c>
      <c r="I69" s="2" cm="1">
        <f t="array" aca="1" ref="I69" ca="1">IF(MOD(COLUMN(INDIRECT(B69&amp;1)),2)=1,IF(MOD(C69,2)=1,$F$1,$F$2),IF(MOD(C69,2)=1,$H$1,$H$2))</f>
        <v>0</v>
      </c>
      <c r="J69" s="16"/>
      <c r="K69" s="5"/>
    </row>
    <row r="70" spans="1:11" x14ac:dyDescent="0.3">
      <c r="A70" s="2" t="s">
        <v>112</v>
      </c>
      <c r="B70" s="2" t="s">
        <v>95</v>
      </c>
      <c r="C70" s="2" t="s">
        <v>56</v>
      </c>
      <c r="D70" s="11">
        <f>Names!$S$4</f>
        <v>0</v>
      </c>
      <c r="E70" s="2" t="str">
        <f t="shared" si="2"/>
        <v/>
      </c>
      <c r="F70" s="11">
        <f t="shared" si="3"/>
        <v>0</v>
      </c>
      <c r="G70" s="11">
        <f>Concentrations!$S$4</f>
        <v>0</v>
      </c>
      <c r="H70" s="2" t="s">
        <v>22</v>
      </c>
      <c r="I70" s="2" cm="1">
        <f t="array" aca="1" ref="I70" ca="1">IF(MOD(COLUMN(INDIRECT(B70&amp;1)),2)=1,IF(MOD(C70,2)=1,$F$1,$F$2),IF(MOD(C70,2)=1,$H$1,$H$2))</f>
        <v>0</v>
      </c>
      <c r="J70" s="16"/>
      <c r="K70" s="5"/>
    </row>
    <row r="71" spans="1:11" x14ac:dyDescent="0.3">
      <c r="A71" s="2" t="s">
        <v>113</v>
      </c>
      <c r="B71" s="2" t="s">
        <v>95</v>
      </c>
      <c r="C71" s="2" t="s">
        <v>58</v>
      </c>
      <c r="D71" s="11">
        <f>Names!$T$4</f>
        <v>0</v>
      </c>
      <c r="E71" s="2" t="str">
        <f t="shared" si="2"/>
        <v/>
      </c>
      <c r="F71" s="11">
        <f t="shared" si="3"/>
        <v>0</v>
      </c>
      <c r="G71" s="11">
        <f>Concentrations!$T$4</f>
        <v>0</v>
      </c>
      <c r="H71" s="2" t="s">
        <v>22</v>
      </c>
      <c r="I71" s="2" cm="1">
        <f t="array" aca="1" ref="I71" ca="1">IF(MOD(COLUMN(INDIRECT(B71&amp;1)),2)=1,IF(MOD(C71,2)=1,$F$1,$F$2),IF(MOD(C71,2)=1,$H$1,$H$2))</f>
        <v>0</v>
      </c>
      <c r="J71" s="16"/>
      <c r="K71" s="5"/>
    </row>
    <row r="72" spans="1:11" x14ac:dyDescent="0.3">
      <c r="A72" s="2" t="s">
        <v>114</v>
      </c>
      <c r="B72" s="2" t="s">
        <v>95</v>
      </c>
      <c r="C72" s="2" t="s">
        <v>60</v>
      </c>
      <c r="D72" s="11">
        <f>Names!$U$4</f>
        <v>0</v>
      </c>
      <c r="E72" s="2" t="str">
        <f t="shared" si="2"/>
        <v/>
      </c>
      <c r="F72" s="11">
        <f t="shared" si="3"/>
        <v>0</v>
      </c>
      <c r="G72" s="11">
        <f>Concentrations!$U$4</f>
        <v>0</v>
      </c>
      <c r="H72" s="2" t="s">
        <v>22</v>
      </c>
      <c r="I72" s="2" cm="1">
        <f t="array" aca="1" ref="I72" ca="1">IF(MOD(COLUMN(INDIRECT(B72&amp;1)),2)=1,IF(MOD(C72,2)=1,$F$1,$F$2),IF(MOD(C72,2)=1,$H$1,$H$2))</f>
        <v>0</v>
      </c>
      <c r="J72" s="16"/>
      <c r="K72" s="5"/>
    </row>
    <row r="73" spans="1:11" x14ac:dyDescent="0.3">
      <c r="A73" s="2" t="s">
        <v>115</v>
      </c>
      <c r="B73" s="2" t="s">
        <v>95</v>
      </c>
      <c r="C73" s="2" t="s">
        <v>62</v>
      </c>
      <c r="D73" s="11">
        <f>Names!$V$4</f>
        <v>0</v>
      </c>
      <c r="E73" s="2" t="str">
        <f t="shared" si="2"/>
        <v/>
      </c>
      <c r="F73" s="11">
        <f t="shared" si="3"/>
        <v>0</v>
      </c>
      <c r="G73" s="11">
        <f>Concentrations!$V$4</f>
        <v>0</v>
      </c>
      <c r="H73" s="2" t="s">
        <v>22</v>
      </c>
      <c r="I73" s="2" cm="1">
        <f t="array" aca="1" ref="I73" ca="1">IF(MOD(COLUMN(INDIRECT(B73&amp;1)),2)=1,IF(MOD(C73,2)=1,$F$1,$F$2),IF(MOD(C73,2)=1,$H$1,$H$2))</f>
        <v>0</v>
      </c>
      <c r="J73" s="16"/>
      <c r="K73" s="5"/>
    </row>
    <row r="74" spans="1:11" x14ac:dyDescent="0.3">
      <c r="A74" s="2" t="s">
        <v>116</v>
      </c>
      <c r="B74" s="2" t="s">
        <v>95</v>
      </c>
      <c r="C74" s="2" t="s">
        <v>64</v>
      </c>
      <c r="D74" s="11">
        <f>Names!$W$4</f>
        <v>0</v>
      </c>
      <c r="E74" s="2" t="str">
        <f t="shared" si="2"/>
        <v/>
      </c>
      <c r="F74" s="11">
        <f t="shared" si="3"/>
        <v>0</v>
      </c>
      <c r="G74" s="11">
        <f>Concentrations!$W$4</f>
        <v>0</v>
      </c>
      <c r="H74" s="2" t="s">
        <v>22</v>
      </c>
      <c r="I74" s="2" cm="1">
        <f t="array" aca="1" ref="I74" ca="1">IF(MOD(COLUMN(INDIRECT(B74&amp;1)),2)=1,IF(MOD(C74,2)=1,$F$1,$F$2),IF(MOD(C74,2)=1,$H$1,$H$2))</f>
        <v>0</v>
      </c>
      <c r="J74" s="16"/>
      <c r="K74" s="5"/>
    </row>
    <row r="75" spans="1:11" x14ac:dyDescent="0.3">
      <c r="A75" s="2" t="s">
        <v>117</v>
      </c>
      <c r="B75" s="2" t="s">
        <v>95</v>
      </c>
      <c r="C75" s="2" t="s">
        <v>66</v>
      </c>
      <c r="D75" s="11" t="str">
        <f>Names!$X$4</f>
        <v>DMSO</v>
      </c>
      <c r="E75" s="2" t="str">
        <f t="shared" si="2"/>
        <v/>
      </c>
      <c r="F75" s="11" t="str">
        <f t="shared" si="3"/>
        <v>DMSO</v>
      </c>
      <c r="G75" s="11">
        <f>Concentrations!$X$4</f>
        <v>0</v>
      </c>
      <c r="H75" s="2" t="s">
        <v>22</v>
      </c>
      <c r="I75" s="2" cm="1">
        <f t="array" aca="1" ref="I75" ca="1">IF(MOD(COLUMN(INDIRECT(B75&amp;1)),2)=1,IF(MOD(C75,2)=1,$F$1,$F$2),IF(MOD(C75,2)=1,$H$1,$H$2))</f>
        <v>0</v>
      </c>
      <c r="J75" s="16"/>
      <c r="K75" s="5"/>
    </row>
    <row r="76" spans="1:11" x14ac:dyDescent="0.3">
      <c r="A76" s="2" t="s">
        <v>118</v>
      </c>
      <c r="B76" s="2" t="s">
        <v>95</v>
      </c>
      <c r="C76" s="2" t="s">
        <v>68</v>
      </c>
      <c r="D76" s="11" t="str">
        <f>Names!$Y$4</f>
        <v>DMSO</v>
      </c>
      <c r="E76" s="2" t="str">
        <f t="shared" si="2"/>
        <v/>
      </c>
      <c r="F76" s="11" t="str">
        <f t="shared" si="3"/>
        <v>DMSO</v>
      </c>
      <c r="G76" s="11">
        <f>Concentrations!$Y$4</f>
        <v>0</v>
      </c>
      <c r="H76" s="2" t="s">
        <v>22</v>
      </c>
      <c r="I76" s="2" cm="1">
        <f t="array" aca="1" ref="I76" ca="1">IF(MOD(COLUMN(INDIRECT(B76&amp;1)),2)=1,IF(MOD(C76,2)=1,$F$1,$F$2),IF(MOD(C76,2)=1,$H$1,$H$2))</f>
        <v>0</v>
      </c>
      <c r="J76" s="16"/>
      <c r="K76" s="5"/>
    </row>
    <row r="77" spans="1:11" x14ac:dyDescent="0.3">
      <c r="A77" s="2" t="s">
        <v>119</v>
      </c>
      <c r="B77" s="2" t="s">
        <v>120</v>
      </c>
      <c r="C77" s="2" t="s">
        <v>21</v>
      </c>
      <c r="D77" s="11" t="str">
        <f>Names!$B$5</f>
        <v>Repaglinide</v>
      </c>
      <c r="E77" s="2" t="str">
        <f t="shared" si="2"/>
        <v/>
      </c>
      <c r="F77" s="11" t="str">
        <f t="shared" si="3"/>
        <v>Repaglinide</v>
      </c>
      <c r="G77" s="11">
        <f>Concentrations!$B$5</f>
        <v>5</v>
      </c>
      <c r="H77" s="2" t="s">
        <v>122</v>
      </c>
      <c r="I77" s="2" cm="1">
        <f t="array" aca="1" ref="I77" ca="1">IF(MOD(COLUMN(INDIRECT(B77&amp;1)),2)=1,IF(MOD(C77,2)=1,$F$1,$F$2),IF(MOD(C77,2)=1,$H$1,$H$2))</f>
        <v>0</v>
      </c>
      <c r="J77" s="16"/>
      <c r="K77" s="5"/>
    </row>
    <row r="78" spans="1:11" x14ac:dyDescent="0.3">
      <c r="A78" s="2" t="s">
        <v>121</v>
      </c>
      <c r="B78" s="2" t="s">
        <v>120</v>
      </c>
      <c r="C78" s="2" t="s">
        <v>24</v>
      </c>
      <c r="D78" s="11" t="str">
        <f>Names!$C$5</f>
        <v>Parbendazol</v>
      </c>
      <c r="E78" s="2" t="str">
        <f t="shared" si="2"/>
        <v/>
      </c>
      <c r="F78" s="11" t="str">
        <f t="shared" si="3"/>
        <v>Parbendazol</v>
      </c>
      <c r="G78" s="11">
        <f>Concentrations!$C$5</f>
        <v>1</v>
      </c>
      <c r="H78" s="2" t="s">
        <v>122</v>
      </c>
      <c r="I78" s="2" cm="1">
        <f t="array" aca="1" ref="I78" ca="1">IF(MOD(COLUMN(INDIRECT(B78&amp;1)),2)=1,IF(MOD(C78,2)=1,$F$1,$F$2),IF(MOD(C78,2)=1,$H$1,$H$2))</f>
        <v>0</v>
      </c>
      <c r="J78" s="16"/>
      <c r="K78" s="5"/>
    </row>
    <row r="79" spans="1:11" x14ac:dyDescent="0.3">
      <c r="A79" s="2" t="s">
        <v>123</v>
      </c>
      <c r="B79" s="2" t="s">
        <v>120</v>
      </c>
      <c r="C79" s="2" t="s">
        <v>26</v>
      </c>
      <c r="D79" s="11">
        <f>Names!$D$5</f>
        <v>0</v>
      </c>
      <c r="E79" s="2" t="str">
        <f t="shared" si="2"/>
        <v/>
      </c>
      <c r="F79" s="11">
        <f t="shared" si="3"/>
        <v>0</v>
      </c>
      <c r="G79" s="11">
        <f>Concentrations!$D$5</f>
        <v>0</v>
      </c>
      <c r="H79" s="2" t="str">
        <f t="shared" ref="H79:H100" si="4">IF(LEFT(D79,2)="KC","%","µM")</f>
        <v>µM</v>
      </c>
      <c r="I79" s="2" cm="1">
        <f t="array" aca="1" ref="I79" ca="1">IF(MOD(COLUMN(INDIRECT(B79&amp;1)),2)=1,IF(MOD(C79,2)=1,$F$1,$F$2),IF(MOD(C79,2)=1,$H$1,$H$2))</f>
        <v>0</v>
      </c>
      <c r="J79" s="16"/>
      <c r="K79" s="5"/>
    </row>
    <row r="80" spans="1:11" x14ac:dyDescent="0.3">
      <c r="A80" s="2" t="s">
        <v>124</v>
      </c>
      <c r="B80" s="2" t="s">
        <v>120</v>
      </c>
      <c r="C80" s="2" t="s">
        <v>28</v>
      </c>
      <c r="D80" s="11">
        <f>Names!$E$5</f>
        <v>0</v>
      </c>
      <c r="E80" s="2" t="str">
        <f t="shared" si="2"/>
        <v/>
      </c>
      <c r="F80" s="11">
        <f t="shared" si="3"/>
        <v>0</v>
      </c>
      <c r="G80" s="11">
        <f>Concentrations!$E$5</f>
        <v>0</v>
      </c>
      <c r="H80" s="2" t="str">
        <f t="shared" si="4"/>
        <v>µM</v>
      </c>
      <c r="I80" s="2" cm="1">
        <f t="array" aca="1" ref="I80" ca="1">IF(MOD(COLUMN(INDIRECT(B80&amp;1)),2)=1,IF(MOD(C80,2)=1,$F$1,$F$2),IF(MOD(C80,2)=1,$H$1,$H$2))</f>
        <v>0</v>
      </c>
      <c r="J80" s="16"/>
      <c r="K80" s="5"/>
    </row>
    <row r="81" spans="1:11" x14ac:dyDescent="0.3">
      <c r="A81" s="2" t="s">
        <v>125</v>
      </c>
      <c r="B81" s="2" t="s">
        <v>120</v>
      </c>
      <c r="C81" s="2" t="s">
        <v>30</v>
      </c>
      <c r="D81" s="11">
        <f>Names!$F$5</f>
        <v>0</v>
      </c>
      <c r="E81" s="2" t="str">
        <f t="shared" si="2"/>
        <v/>
      </c>
      <c r="F81" s="11">
        <f t="shared" si="3"/>
        <v>0</v>
      </c>
      <c r="G81" s="11">
        <f>Concentrations!$F$5</f>
        <v>0</v>
      </c>
      <c r="H81" s="2" t="str">
        <f t="shared" si="4"/>
        <v>µM</v>
      </c>
      <c r="I81" s="2" cm="1">
        <f t="array" aca="1" ref="I81" ca="1">IF(MOD(COLUMN(INDIRECT(B81&amp;1)),2)=1,IF(MOD(C81,2)=1,$F$1,$F$2),IF(MOD(C81,2)=1,$H$1,$H$2))</f>
        <v>0</v>
      </c>
      <c r="J81" s="16"/>
      <c r="K81" s="5"/>
    </row>
    <row r="82" spans="1:11" x14ac:dyDescent="0.3">
      <c r="A82" s="2" t="s">
        <v>126</v>
      </c>
      <c r="B82" s="2" t="s">
        <v>120</v>
      </c>
      <c r="C82" s="2" t="s">
        <v>32</v>
      </c>
      <c r="D82" s="11">
        <f>Names!$G$5</f>
        <v>0</v>
      </c>
      <c r="E82" s="2" t="str">
        <f t="shared" si="2"/>
        <v/>
      </c>
      <c r="F82" s="11">
        <f t="shared" si="3"/>
        <v>0</v>
      </c>
      <c r="G82" s="11">
        <f>Concentrations!$G$5</f>
        <v>0</v>
      </c>
      <c r="H82" s="2" t="str">
        <f t="shared" si="4"/>
        <v>µM</v>
      </c>
      <c r="I82" s="2" cm="1">
        <f t="array" aca="1" ref="I82" ca="1">IF(MOD(COLUMN(INDIRECT(B82&amp;1)),2)=1,IF(MOD(C82,2)=1,$F$1,$F$2),IF(MOD(C82,2)=1,$H$1,$H$2))</f>
        <v>0</v>
      </c>
      <c r="J82" s="16"/>
      <c r="K82" s="5"/>
    </row>
    <row r="83" spans="1:11" x14ac:dyDescent="0.3">
      <c r="A83" s="2" t="s">
        <v>127</v>
      </c>
      <c r="B83" s="2" t="s">
        <v>120</v>
      </c>
      <c r="C83" s="2" t="s">
        <v>34</v>
      </c>
      <c r="D83" s="11">
        <f>Names!$H$5</f>
        <v>0</v>
      </c>
      <c r="E83" s="2" t="str">
        <f t="shared" si="2"/>
        <v/>
      </c>
      <c r="F83" s="11">
        <f t="shared" si="3"/>
        <v>0</v>
      </c>
      <c r="G83" s="11">
        <f>Concentrations!$H$5</f>
        <v>0</v>
      </c>
      <c r="H83" s="2" t="str">
        <f t="shared" si="4"/>
        <v>µM</v>
      </c>
      <c r="I83" s="2" cm="1">
        <f t="array" aca="1" ref="I83" ca="1">IF(MOD(COLUMN(INDIRECT(B83&amp;1)),2)=1,IF(MOD(C83,2)=1,$F$1,$F$2),IF(MOD(C83,2)=1,$H$1,$H$2))</f>
        <v>0</v>
      </c>
      <c r="J83" s="16"/>
      <c r="K83" s="5"/>
    </row>
    <row r="84" spans="1:11" x14ac:dyDescent="0.3">
      <c r="A84" s="2" t="s">
        <v>128</v>
      </c>
      <c r="B84" s="2" t="s">
        <v>120</v>
      </c>
      <c r="C84" s="2" t="s">
        <v>36</v>
      </c>
      <c r="D84" s="11">
        <f>Names!$I$5</f>
        <v>0</v>
      </c>
      <c r="E84" s="2" t="str">
        <f t="shared" si="2"/>
        <v/>
      </c>
      <c r="F84" s="11">
        <f t="shared" si="3"/>
        <v>0</v>
      </c>
      <c r="G84" s="11">
        <f>Concentrations!$I$5</f>
        <v>0</v>
      </c>
      <c r="H84" s="2" t="str">
        <f t="shared" si="4"/>
        <v>µM</v>
      </c>
      <c r="I84" s="2" cm="1">
        <f t="array" aca="1" ref="I84" ca="1">IF(MOD(COLUMN(INDIRECT(B84&amp;1)),2)=1,IF(MOD(C84,2)=1,$F$1,$F$2),IF(MOD(C84,2)=1,$H$1,$H$2))</f>
        <v>0</v>
      </c>
      <c r="J84" s="16"/>
      <c r="K84" s="5"/>
    </row>
    <row r="85" spans="1:11" x14ac:dyDescent="0.3">
      <c r="A85" s="2" t="s">
        <v>129</v>
      </c>
      <c r="B85" s="2" t="s">
        <v>120</v>
      </c>
      <c r="C85" s="2" t="s">
        <v>38</v>
      </c>
      <c r="D85" s="11">
        <f>Names!$J$5</f>
        <v>0</v>
      </c>
      <c r="E85" s="2" t="str">
        <f t="shared" si="2"/>
        <v/>
      </c>
      <c r="F85" s="11">
        <f t="shared" si="3"/>
        <v>0</v>
      </c>
      <c r="G85" s="11">
        <f>Concentrations!$J$5</f>
        <v>0</v>
      </c>
      <c r="H85" s="2" t="str">
        <f t="shared" si="4"/>
        <v>µM</v>
      </c>
      <c r="I85" s="2" cm="1">
        <f t="array" aca="1" ref="I85" ca="1">IF(MOD(COLUMN(INDIRECT(B85&amp;1)),2)=1,IF(MOD(C85,2)=1,$F$1,$F$2),IF(MOD(C85,2)=1,$H$1,$H$2))</f>
        <v>0</v>
      </c>
      <c r="J85" s="16"/>
      <c r="K85" s="5"/>
    </row>
    <row r="86" spans="1:11" x14ac:dyDescent="0.3">
      <c r="A86" s="2" t="s">
        <v>130</v>
      </c>
      <c r="B86" s="2" t="s">
        <v>120</v>
      </c>
      <c r="C86" s="2" t="s">
        <v>40</v>
      </c>
      <c r="D86" s="11">
        <f>Names!$K$5</f>
        <v>0</v>
      </c>
      <c r="E86" s="2" t="str">
        <f t="shared" si="2"/>
        <v/>
      </c>
      <c r="F86" s="11">
        <f t="shared" si="3"/>
        <v>0</v>
      </c>
      <c r="G86" s="11">
        <f>Concentrations!$K$5</f>
        <v>0</v>
      </c>
      <c r="H86" s="2" t="str">
        <f t="shared" si="4"/>
        <v>µM</v>
      </c>
      <c r="I86" s="2" cm="1">
        <f t="array" aca="1" ref="I86" ca="1">IF(MOD(COLUMN(INDIRECT(B86&amp;1)),2)=1,IF(MOD(C86,2)=1,$F$1,$F$2),IF(MOD(C86,2)=1,$H$1,$H$2))</f>
        <v>0</v>
      </c>
      <c r="J86" s="16"/>
      <c r="K86" s="5"/>
    </row>
    <row r="87" spans="1:11" x14ac:dyDescent="0.3">
      <c r="A87" s="2" t="s">
        <v>131</v>
      </c>
      <c r="B87" s="2" t="s">
        <v>120</v>
      </c>
      <c r="C87" s="2" t="s">
        <v>42</v>
      </c>
      <c r="D87" s="11">
        <f>Names!$L$5</f>
        <v>0</v>
      </c>
      <c r="E87" s="2" t="str">
        <f t="shared" si="2"/>
        <v/>
      </c>
      <c r="F87" s="11">
        <f t="shared" si="3"/>
        <v>0</v>
      </c>
      <c r="G87" s="11">
        <f>Concentrations!$L$5</f>
        <v>0</v>
      </c>
      <c r="H87" s="2" t="str">
        <f t="shared" si="4"/>
        <v>µM</v>
      </c>
      <c r="I87" s="2" cm="1">
        <f t="array" aca="1" ref="I87" ca="1">IF(MOD(COLUMN(INDIRECT(B87&amp;1)),2)=1,IF(MOD(C87,2)=1,$F$1,$F$2),IF(MOD(C87,2)=1,$H$1,$H$2))</f>
        <v>0</v>
      </c>
      <c r="J87" s="16"/>
      <c r="K87" s="5"/>
    </row>
    <row r="88" spans="1:11" x14ac:dyDescent="0.3">
      <c r="A88" s="2" t="s">
        <v>132</v>
      </c>
      <c r="B88" s="2" t="s">
        <v>120</v>
      </c>
      <c r="C88" s="2" t="s">
        <v>44</v>
      </c>
      <c r="D88" s="11">
        <f>Names!$M$5</f>
        <v>0</v>
      </c>
      <c r="E88" s="2" t="str">
        <f t="shared" si="2"/>
        <v/>
      </c>
      <c r="F88" s="11">
        <f t="shared" si="3"/>
        <v>0</v>
      </c>
      <c r="G88" s="11">
        <f>Concentrations!$M$5</f>
        <v>0</v>
      </c>
      <c r="H88" s="2" t="str">
        <f t="shared" si="4"/>
        <v>µM</v>
      </c>
      <c r="I88" s="2" cm="1">
        <f t="array" aca="1" ref="I88" ca="1">IF(MOD(COLUMN(INDIRECT(B88&amp;1)),2)=1,IF(MOD(C88,2)=1,$F$1,$F$2),IF(MOD(C88,2)=1,$H$1,$H$2))</f>
        <v>0</v>
      </c>
      <c r="J88" s="16"/>
      <c r="K88" s="5"/>
    </row>
    <row r="89" spans="1:11" x14ac:dyDescent="0.3">
      <c r="A89" s="2" t="s">
        <v>133</v>
      </c>
      <c r="B89" s="2" t="s">
        <v>120</v>
      </c>
      <c r="C89" s="2" t="s">
        <v>46</v>
      </c>
      <c r="D89" s="11">
        <f>Names!$N$5</f>
        <v>0</v>
      </c>
      <c r="E89" s="2" t="str">
        <f t="shared" si="2"/>
        <v/>
      </c>
      <c r="F89" s="11">
        <f t="shared" si="3"/>
        <v>0</v>
      </c>
      <c r="G89" s="11">
        <f>Concentrations!$N$5</f>
        <v>0</v>
      </c>
      <c r="H89" s="2" t="str">
        <f t="shared" si="4"/>
        <v>µM</v>
      </c>
      <c r="I89" s="2" cm="1">
        <f t="array" aca="1" ref="I89" ca="1">IF(MOD(COLUMN(INDIRECT(B89&amp;1)),2)=1,IF(MOD(C89,2)=1,$F$1,$F$2),IF(MOD(C89,2)=1,$H$1,$H$2))</f>
        <v>0</v>
      </c>
      <c r="J89" s="16"/>
      <c r="K89" s="5"/>
    </row>
    <row r="90" spans="1:11" x14ac:dyDescent="0.3">
      <c r="A90" s="2" t="s">
        <v>134</v>
      </c>
      <c r="B90" s="2" t="s">
        <v>120</v>
      </c>
      <c r="C90" s="2" t="s">
        <v>48</v>
      </c>
      <c r="D90" s="11">
        <f>Names!$O$5</f>
        <v>0</v>
      </c>
      <c r="E90" s="2" t="str">
        <f t="shared" si="2"/>
        <v/>
      </c>
      <c r="F90" s="11">
        <f t="shared" si="3"/>
        <v>0</v>
      </c>
      <c r="G90" s="11">
        <f>Concentrations!$O$5</f>
        <v>0</v>
      </c>
      <c r="H90" s="2" t="str">
        <f t="shared" si="4"/>
        <v>µM</v>
      </c>
      <c r="I90" s="2" cm="1">
        <f t="array" aca="1" ref="I90" ca="1">IF(MOD(COLUMN(INDIRECT(B90&amp;1)),2)=1,IF(MOD(C90,2)=1,$F$1,$F$2),IF(MOD(C90,2)=1,$H$1,$H$2))</f>
        <v>0</v>
      </c>
      <c r="J90" s="16"/>
      <c r="K90" s="5"/>
    </row>
    <row r="91" spans="1:11" x14ac:dyDescent="0.3">
      <c r="A91" s="2" t="s">
        <v>135</v>
      </c>
      <c r="B91" s="2" t="s">
        <v>120</v>
      </c>
      <c r="C91" s="2" t="s">
        <v>50</v>
      </c>
      <c r="D91" s="11">
        <f>Names!$P$5</f>
        <v>0</v>
      </c>
      <c r="E91" s="2" t="str">
        <f t="shared" si="2"/>
        <v/>
      </c>
      <c r="F91" s="11">
        <f t="shared" si="3"/>
        <v>0</v>
      </c>
      <c r="G91" s="11">
        <f>Concentrations!$P$5</f>
        <v>0</v>
      </c>
      <c r="H91" s="2" t="str">
        <f t="shared" si="4"/>
        <v>µM</v>
      </c>
      <c r="I91" s="2" cm="1">
        <f t="array" aca="1" ref="I91" ca="1">IF(MOD(COLUMN(INDIRECT(B91&amp;1)),2)=1,IF(MOD(C91,2)=1,$F$1,$F$2),IF(MOD(C91,2)=1,$H$1,$H$2))</f>
        <v>0</v>
      </c>
      <c r="J91" s="16"/>
      <c r="K91" s="5"/>
    </row>
    <row r="92" spans="1:11" x14ac:dyDescent="0.3">
      <c r="A92" s="2" t="s">
        <v>136</v>
      </c>
      <c r="B92" s="2" t="s">
        <v>120</v>
      </c>
      <c r="C92" s="2" t="s">
        <v>52</v>
      </c>
      <c r="D92" s="11">
        <f>Names!$Q$5</f>
        <v>0</v>
      </c>
      <c r="E92" s="2" t="str">
        <f t="shared" si="2"/>
        <v/>
      </c>
      <c r="F92" s="11">
        <f t="shared" si="3"/>
        <v>0</v>
      </c>
      <c r="G92" s="11">
        <f>Concentrations!$Q$5</f>
        <v>0</v>
      </c>
      <c r="H92" s="2" t="str">
        <f t="shared" si="4"/>
        <v>µM</v>
      </c>
      <c r="I92" s="2" cm="1">
        <f t="array" aca="1" ref="I92" ca="1">IF(MOD(COLUMN(INDIRECT(B92&amp;1)),2)=1,IF(MOD(C92,2)=1,$F$1,$F$2),IF(MOD(C92,2)=1,$H$1,$H$2))</f>
        <v>0</v>
      </c>
      <c r="J92" s="16"/>
      <c r="K92" s="5"/>
    </row>
    <row r="93" spans="1:11" x14ac:dyDescent="0.3">
      <c r="A93" s="2" t="s">
        <v>137</v>
      </c>
      <c r="B93" s="2" t="s">
        <v>120</v>
      </c>
      <c r="C93" s="2" t="s">
        <v>54</v>
      </c>
      <c r="D93" s="11">
        <f>Names!$R$5</f>
        <v>0</v>
      </c>
      <c r="E93" s="2" t="str">
        <f t="shared" si="2"/>
        <v/>
      </c>
      <c r="F93" s="11">
        <f t="shared" si="3"/>
        <v>0</v>
      </c>
      <c r="G93" s="11">
        <f>Concentrations!$R$5</f>
        <v>0</v>
      </c>
      <c r="H93" s="2" t="str">
        <f t="shared" si="4"/>
        <v>µM</v>
      </c>
      <c r="I93" s="2" cm="1">
        <f t="array" aca="1" ref="I93" ca="1">IF(MOD(COLUMN(INDIRECT(B93&amp;1)),2)=1,IF(MOD(C93,2)=1,$F$1,$F$2),IF(MOD(C93,2)=1,$H$1,$H$2))</f>
        <v>0</v>
      </c>
      <c r="J93" s="16"/>
      <c r="K93" s="5"/>
    </row>
    <row r="94" spans="1:11" x14ac:dyDescent="0.3">
      <c r="A94" s="2" t="s">
        <v>138</v>
      </c>
      <c r="B94" s="2" t="s">
        <v>120</v>
      </c>
      <c r="C94" s="2" t="s">
        <v>56</v>
      </c>
      <c r="D94" s="11">
        <f>Names!$S$5</f>
        <v>0</v>
      </c>
      <c r="E94" s="2" t="str">
        <f t="shared" si="2"/>
        <v/>
      </c>
      <c r="F94" s="11">
        <f t="shared" si="3"/>
        <v>0</v>
      </c>
      <c r="G94" s="11">
        <f>Concentrations!$S$5</f>
        <v>0</v>
      </c>
      <c r="H94" s="2" t="str">
        <f t="shared" si="4"/>
        <v>µM</v>
      </c>
      <c r="I94" s="2" cm="1">
        <f t="array" aca="1" ref="I94" ca="1">IF(MOD(COLUMN(INDIRECT(B94&amp;1)),2)=1,IF(MOD(C94,2)=1,$F$1,$F$2),IF(MOD(C94,2)=1,$H$1,$H$2))</f>
        <v>0</v>
      </c>
      <c r="J94" s="16"/>
      <c r="K94" s="5"/>
    </row>
    <row r="95" spans="1:11" x14ac:dyDescent="0.3">
      <c r="A95" s="2" t="s">
        <v>139</v>
      </c>
      <c r="B95" s="2" t="s">
        <v>120</v>
      </c>
      <c r="C95" s="2" t="s">
        <v>58</v>
      </c>
      <c r="D95" s="11">
        <f>Names!$T$5</f>
        <v>0</v>
      </c>
      <c r="E95" s="2" t="str">
        <f t="shared" si="2"/>
        <v/>
      </c>
      <c r="F95" s="11">
        <f t="shared" si="3"/>
        <v>0</v>
      </c>
      <c r="G95" s="11">
        <f>Concentrations!$T$5</f>
        <v>0</v>
      </c>
      <c r="H95" s="2" t="str">
        <f t="shared" si="4"/>
        <v>µM</v>
      </c>
      <c r="I95" s="2" cm="1">
        <f t="array" aca="1" ref="I95" ca="1">IF(MOD(COLUMN(INDIRECT(B95&amp;1)),2)=1,IF(MOD(C95,2)=1,$F$1,$F$2),IF(MOD(C95,2)=1,$H$1,$H$2))</f>
        <v>0</v>
      </c>
      <c r="J95" s="16"/>
      <c r="K95" s="5"/>
    </row>
    <row r="96" spans="1:11" x14ac:dyDescent="0.3">
      <c r="A96" s="2" t="s">
        <v>140</v>
      </c>
      <c r="B96" s="2" t="s">
        <v>120</v>
      </c>
      <c r="C96" s="2" t="s">
        <v>60</v>
      </c>
      <c r="D96" s="11">
        <f>Names!$U$5</f>
        <v>0</v>
      </c>
      <c r="E96" s="2" t="str">
        <f t="shared" si="2"/>
        <v/>
      </c>
      <c r="F96" s="11">
        <f t="shared" si="3"/>
        <v>0</v>
      </c>
      <c r="G96" s="11">
        <f>Concentrations!$U$5</f>
        <v>0</v>
      </c>
      <c r="H96" s="2" t="str">
        <f t="shared" si="4"/>
        <v>µM</v>
      </c>
      <c r="I96" s="2" cm="1">
        <f t="array" aca="1" ref="I96" ca="1">IF(MOD(COLUMN(INDIRECT(B96&amp;1)),2)=1,IF(MOD(C96,2)=1,$F$1,$F$2),IF(MOD(C96,2)=1,$H$1,$H$2))</f>
        <v>0</v>
      </c>
      <c r="J96" s="16"/>
      <c r="K96" s="5"/>
    </row>
    <row r="97" spans="1:11" x14ac:dyDescent="0.3">
      <c r="A97" s="2" t="s">
        <v>141</v>
      </c>
      <c r="B97" s="2" t="s">
        <v>120</v>
      </c>
      <c r="C97" s="2" t="s">
        <v>62</v>
      </c>
      <c r="D97" s="11">
        <f>Names!$V$5</f>
        <v>0</v>
      </c>
      <c r="E97" s="2" t="str">
        <f t="shared" si="2"/>
        <v/>
      </c>
      <c r="F97" s="11">
        <f t="shared" si="3"/>
        <v>0</v>
      </c>
      <c r="G97" s="11">
        <f>Concentrations!$V$5</f>
        <v>0</v>
      </c>
      <c r="H97" s="2" t="str">
        <f t="shared" si="4"/>
        <v>µM</v>
      </c>
      <c r="I97" s="2" cm="1">
        <f t="array" aca="1" ref="I97" ca="1">IF(MOD(COLUMN(INDIRECT(B97&amp;1)),2)=1,IF(MOD(C97,2)=1,$F$1,$F$2),IF(MOD(C97,2)=1,$H$1,$H$2))</f>
        <v>0</v>
      </c>
      <c r="J97" s="16"/>
      <c r="K97" s="5"/>
    </row>
    <row r="98" spans="1:11" x14ac:dyDescent="0.3">
      <c r="A98" s="2" t="s">
        <v>142</v>
      </c>
      <c r="B98" s="2" t="s">
        <v>120</v>
      </c>
      <c r="C98" s="2" t="s">
        <v>64</v>
      </c>
      <c r="D98" s="11">
        <f>Names!$W$5</f>
        <v>0</v>
      </c>
      <c r="E98" s="2" t="str">
        <f t="shared" si="2"/>
        <v/>
      </c>
      <c r="F98" s="11">
        <f t="shared" si="3"/>
        <v>0</v>
      </c>
      <c r="G98" s="11">
        <f>Concentrations!$W$5</f>
        <v>0</v>
      </c>
      <c r="H98" s="2" t="str">
        <f t="shared" si="4"/>
        <v>µM</v>
      </c>
      <c r="I98" s="2" cm="1">
        <f t="array" aca="1" ref="I98" ca="1">IF(MOD(COLUMN(INDIRECT(B98&amp;1)),2)=1,IF(MOD(C98,2)=1,$F$1,$F$2),IF(MOD(C98,2)=1,$H$1,$H$2))</f>
        <v>0</v>
      </c>
      <c r="J98" s="16"/>
      <c r="K98" s="5"/>
    </row>
    <row r="99" spans="1:11" x14ac:dyDescent="0.3">
      <c r="A99" s="2" t="s">
        <v>143</v>
      </c>
      <c r="B99" s="2" t="s">
        <v>120</v>
      </c>
      <c r="C99" s="2" t="s">
        <v>66</v>
      </c>
      <c r="D99" s="11" t="str">
        <f>Names!$X$5</f>
        <v>DMSO</v>
      </c>
      <c r="E99" s="2" t="str">
        <f t="shared" si="2"/>
        <v/>
      </c>
      <c r="F99" s="11" t="str">
        <f t="shared" si="3"/>
        <v>DMSO</v>
      </c>
      <c r="G99" s="11">
        <f>Concentrations!$X$5</f>
        <v>0</v>
      </c>
      <c r="H99" s="2" t="str">
        <f t="shared" si="4"/>
        <v>µM</v>
      </c>
      <c r="I99" s="2" cm="1">
        <f t="array" aca="1" ref="I99" ca="1">IF(MOD(COLUMN(INDIRECT(B99&amp;1)),2)=1,IF(MOD(C99,2)=1,$F$1,$F$2),IF(MOD(C99,2)=1,$H$1,$H$2))</f>
        <v>0</v>
      </c>
      <c r="J99" s="16"/>
      <c r="K99" s="5"/>
    </row>
    <row r="100" spans="1:11" x14ac:dyDescent="0.3">
      <c r="A100" s="2" t="s">
        <v>144</v>
      </c>
      <c r="B100" s="2" t="s">
        <v>120</v>
      </c>
      <c r="C100" s="2" t="s">
        <v>68</v>
      </c>
      <c r="D100" s="11" t="str">
        <f>Names!$Y$5</f>
        <v>DMSO</v>
      </c>
      <c r="E100" s="2" t="str">
        <f t="shared" si="2"/>
        <v/>
      </c>
      <c r="F100" s="11" t="str">
        <f t="shared" si="3"/>
        <v>DMSO</v>
      </c>
      <c r="G100" s="11">
        <f>Concentrations!$Y$5</f>
        <v>0</v>
      </c>
      <c r="H100" s="2" t="str">
        <f t="shared" si="4"/>
        <v>µM</v>
      </c>
      <c r="I100" s="2" cm="1">
        <f t="array" aca="1" ref="I100" ca="1">IF(MOD(COLUMN(INDIRECT(B100&amp;1)),2)=1,IF(MOD(C100,2)=1,$F$1,$F$2),IF(MOD(C100,2)=1,$H$1,$H$2))</f>
        <v>0</v>
      </c>
      <c r="J100" s="16"/>
      <c r="K100" s="5"/>
    </row>
    <row r="101" spans="1:11" x14ac:dyDescent="0.3">
      <c r="A101" s="2" t="s">
        <v>145</v>
      </c>
      <c r="B101" s="2" t="s">
        <v>146</v>
      </c>
      <c r="C101" s="2" t="s">
        <v>21</v>
      </c>
      <c r="D101" s="11" t="str">
        <f>Names!$B$6</f>
        <v>DMSO</v>
      </c>
      <c r="E101" s="2" t="str">
        <f t="shared" si="2"/>
        <v/>
      </c>
      <c r="F101" s="11" t="str">
        <f t="shared" si="3"/>
        <v>DMSO</v>
      </c>
      <c r="G101" s="11">
        <f>Concentrations!$B$6</f>
        <v>0</v>
      </c>
      <c r="H101" s="2" t="s">
        <v>22</v>
      </c>
      <c r="I101" s="2" cm="1">
        <f t="array" aca="1" ref="I101" ca="1">IF(MOD(COLUMN(INDIRECT(B101&amp;1)),2)=1,IF(MOD(C101,2)=1,$F$1,$F$2),IF(MOD(C101,2)=1,$H$1,$H$2))</f>
        <v>0</v>
      </c>
      <c r="J101" s="16"/>
      <c r="K101" s="5"/>
    </row>
    <row r="102" spans="1:11" x14ac:dyDescent="0.3">
      <c r="A102" s="2" t="s">
        <v>147</v>
      </c>
      <c r="B102" s="2" t="s">
        <v>146</v>
      </c>
      <c r="C102" s="2" t="s">
        <v>24</v>
      </c>
      <c r="D102" s="11" t="str">
        <f>Names!$C$6</f>
        <v>DMSO</v>
      </c>
      <c r="E102" s="2" t="str">
        <f t="shared" si="2"/>
        <v/>
      </c>
      <c r="F102" s="11" t="str">
        <f t="shared" si="3"/>
        <v>DMSO</v>
      </c>
      <c r="G102" s="11">
        <f>Concentrations!$C$6</f>
        <v>0</v>
      </c>
      <c r="H102" s="2" t="s">
        <v>122</v>
      </c>
      <c r="I102" s="2" cm="1">
        <f t="array" aca="1" ref="I102" ca="1">IF(MOD(COLUMN(INDIRECT(B102&amp;1)),2)=1,IF(MOD(C102,2)=1,$F$1,$F$2),IF(MOD(C102,2)=1,$H$1,$H$2))</f>
        <v>0</v>
      </c>
      <c r="J102" s="16"/>
      <c r="K102" s="5"/>
    </row>
    <row r="103" spans="1:11" x14ac:dyDescent="0.3">
      <c r="A103" s="2" t="s">
        <v>148</v>
      </c>
      <c r="B103" s="2" t="s">
        <v>146</v>
      </c>
      <c r="C103" s="2" t="s">
        <v>26</v>
      </c>
      <c r="D103" s="11">
        <f>Names!$D$6</f>
        <v>0</v>
      </c>
      <c r="E103" s="2" t="str">
        <f t="shared" si="2"/>
        <v/>
      </c>
      <c r="F103" s="11">
        <f t="shared" si="3"/>
        <v>0</v>
      </c>
      <c r="G103" s="11">
        <f>Concentrations!$D$6</f>
        <v>0</v>
      </c>
      <c r="H103" s="2" t="str">
        <f t="shared" ref="H103:H124" si="5">IF(LEFT(D103,2)="KC","%","µM")</f>
        <v>µM</v>
      </c>
      <c r="I103" s="2" cm="1">
        <f t="array" aca="1" ref="I103" ca="1">IF(MOD(COLUMN(INDIRECT(B103&amp;1)),2)=1,IF(MOD(C103,2)=1,$F$1,$F$2),IF(MOD(C103,2)=1,$H$1,$H$2))</f>
        <v>0</v>
      </c>
      <c r="J103" s="16"/>
      <c r="K103" s="5"/>
    </row>
    <row r="104" spans="1:11" x14ac:dyDescent="0.3">
      <c r="A104" s="2" t="s">
        <v>149</v>
      </c>
      <c r="B104" s="2" t="s">
        <v>146</v>
      </c>
      <c r="C104" s="2" t="s">
        <v>28</v>
      </c>
      <c r="D104" s="11">
        <f>Names!$E$6</f>
        <v>0</v>
      </c>
      <c r="E104" s="2" t="str">
        <f t="shared" si="2"/>
        <v/>
      </c>
      <c r="F104" s="11">
        <f t="shared" si="3"/>
        <v>0</v>
      </c>
      <c r="G104" s="11">
        <f>Concentrations!$E$6</f>
        <v>0</v>
      </c>
      <c r="H104" s="2" t="str">
        <f t="shared" si="5"/>
        <v>µM</v>
      </c>
      <c r="I104" s="2" cm="1">
        <f t="array" aca="1" ref="I104" ca="1">IF(MOD(COLUMN(INDIRECT(B104&amp;1)),2)=1,IF(MOD(C104,2)=1,$F$1,$F$2),IF(MOD(C104,2)=1,$H$1,$H$2))</f>
        <v>0</v>
      </c>
      <c r="J104" s="16"/>
      <c r="K104" s="5"/>
    </row>
    <row r="105" spans="1:11" x14ac:dyDescent="0.3">
      <c r="A105" s="2" t="s">
        <v>150</v>
      </c>
      <c r="B105" s="2" t="s">
        <v>146</v>
      </c>
      <c r="C105" s="2" t="s">
        <v>30</v>
      </c>
      <c r="D105" s="11">
        <f>Names!$F$6</f>
        <v>0</v>
      </c>
      <c r="E105" s="2" t="str">
        <f t="shared" si="2"/>
        <v/>
      </c>
      <c r="F105" s="11">
        <f t="shared" si="3"/>
        <v>0</v>
      </c>
      <c r="G105" s="11">
        <f>Concentrations!$F$6</f>
        <v>0</v>
      </c>
      <c r="H105" s="2" t="str">
        <f t="shared" si="5"/>
        <v>µM</v>
      </c>
      <c r="I105" s="2" cm="1">
        <f t="array" aca="1" ref="I105" ca="1">IF(MOD(COLUMN(INDIRECT(B105&amp;1)),2)=1,IF(MOD(C105,2)=1,$F$1,$F$2),IF(MOD(C105,2)=1,$H$1,$H$2))</f>
        <v>0</v>
      </c>
      <c r="J105" s="16"/>
      <c r="K105" s="5"/>
    </row>
    <row r="106" spans="1:11" x14ac:dyDescent="0.3">
      <c r="A106" s="2" t="s">
        <v>151</v>
      </c>
      <c r="B106" s="2" t="s">
        <v>146</v>
      </c>
      <c r="C106" s="2" t="s">
        <v>32</v>
      </c>
      <c r="D106" s="11">
        <f>Names!$G$6</f>
        <v>0</v>
      </c>
      <c r="E106" s="2" t="str">
        <f t="shared" si="2"/>
        <v/>
      </c>
      <c r="F106" s="11">
        <f t="shared" si="3"/>
        <v>0</v>
      </c>
      <c r="G106" s="11">
        <f>Concentrations!$G$6</f>
        <v>0</v>
      </c>
      <c r="H106" s="2" t="str">
        <f t="shared" si="5"/>
        <v>µM</v>
      </c>
      <c r="I106" s="2" cm="1">
        <f t="array" aca="1" ref="I106" ca="1">IF(MOD(COLUMN(INDIRECT(B106&amp;1)),2)=1,IF(MOD(C106,2)=1,$F$1,$F$2),IF(MOD(C106,2)=1,$H$1,$H$2))</f>
        <v>0</v>
      </c>
      <c r="J106" s="16"/>
      <c r="K106" s="5"/>
    </row>
    <row r="107" spans="1:11" x14ac:dyDescent="0.3">
      <c r="A107" s="2" t="s">
        <v>152</v>
      </c>
      <c r="B107" s="2" t="s">
        <v>146</v>
      </c>
      <c r="C107" s="2" t="s">
        <v>34</v>
      </c>
      <c r="D107" s="11">
        <f>Names!$H$6</f>
        <v>0</v>
      </c>
      <c r="E107" s="2" t="str">
        <f t="shared" si="2"/>
        <v/>
      </c>
      <c r="F107" s="11">
        <f t="shared" si="3"/>
        <v>0</v>
      </c>
      <c r="G107" s="11">
        <f>Concentrations!$H$6</f>
        <v>0</v>
      </c>
      <c r="H107" s="2" t="str">
        <f t="shared" si="5"/>
        <v>µM</v>
      </c>
      <c r="I107" s="2" cm="1">
        <f t="array" aca="1" ref="I107" ca="1">IF(MOD(COLUMN(INDIRECT(B107&amp;1)),2)=1,IF(MOD(C107,2)=1,$F$1,$F$2),IF(MOD(C107,2)=1,$H$1,$H$2))</f>
        <v>0</v>
      </c>
      <c r="J107" s="16"/>
      <c r="K107" s="5"/>
    </row>
    <row r="108" spans="1:11" x14ac:dyDescent="0.3">
      <c r="A108" s="2" t="s">
        <v>153</v>
      </c>
      <c r="B108" s="2" t="s">
        <v>146</v>
      </c>
      <c r="C108" s="2" t="s">
        <v>36</v>
      </c>
      <c r="D108" s="11">
        <f>Names!$I$6</f>
        <v>0</v>
      </c>
      <c r="E108" s="2" t="str">
        <f t="shared" si="2"/>
        <v/>
      </c>
      <c r="F108" s="11">
        <f t="shared" si="3"/>
        <v>0</v>
      </c>
      <c r="G108" s="11">
        <f>Concentrations!$I$6</f>
        <v>0</v>
      </c>
      <c r="H108" s="2" t="str">
        <f t="shared" si="5"/>
        <v>µM</v>
      </c>
      <c r="I108" s="2" cm="1">
        <f t="array" aca="1" ref="I108" ca="1">IF(MOD(COLUMN(INDIRECT(B108&amp;1)),2)=1,IF(MOD(C108,2)=1,$F$1,$F$2),IF(MOD(C108,2)=1,$H$1,$H$2))</f>
        <v>0</v>
      </c>
      <c r="J108" s="16"/>
      <c r="K108" s="5"/>
    </row>
    <row r="109" spans="1:11" x14ac:dyDescent="0.3">
      <c r="A109" s="2" t="s">
        <v>154</v>
      </c>
      <c r="B109" s="2" t="s">
        <v>146</v>
      </c>
      <c r="C109" s="2" t="s">
        <v>38</v>
      </c>
      <c r="D109" s="11">
        <f>Names!$J$6</f>
        <v>0</v>
      </c>
      <c r="E109" s="2" t="str">
        <f t="shared" si="2"/>
        <v/>
      </c>
      <c r="F109" s="11">
        <f t="shared" si="3"/>
        <v>0</v>
      </c>
      <c r="G109" s="11">
        <f>Concentrations!$J$6</f>
        <v>0</v>
      </c>
      <c r="H109" s="2" t="str">
        <f t="shared" si="5"/>
        <v>µM</v>
      </c>
      <c r="I109" s="2" cm="1">
        <f t="array" aca="1" ref="I109" ca="1">IF(MOD(COLUMN(INDIRECT(B109&amp;1)),2)=1,IF(MOD(C109,2)=1,$F$1,$F$2),IF(MOD(C109,2)=1,$H$1,$H$2))</f>
        <v>0</v>
      </c>
      <c r="J109" s="16"/>
      <c r="K109" s="5"/>
    </row>
    <row r="110" spans="1:11" x14ac:dyDescent="0.3">
      <c r="A110" s="2" t="s">
        <v>155</v>
      </c>
      <c r="B110" s="2" t="s">
        <v>146</v>
      </c>
      <c r="C110" s="2" t="s">
        <v>40</v>
      </c>
      <c r="D110" s="11">
        <f>Names!$K$6</f>
        <v>0</v>
      </c>
      <c r="E110" s="2" t="str">
        <f t="shared" si="2"/>
        <v/>
      </c>
      <c r="F110" s="11">
        <f t="shared" si="3"/>
        <v>0</v>
      </c>
      <c r="G110" s="11">
        <f>Concentrations!$K$6</f>
        <v>0</v>
      </c>
      <c r="H110" s="2" t="str">
        <f t="shared" si="5"/>
        <v>µM</v>
      </c>
      <c r="I110" s="2" cm="1">
        <f t="array" aca="1" ref="I110" ca="1">IF(MOD(COLUMN(INDIRECT(B110&amp;1)),2)=1,IF(MOD(C110,2)=1,$F$1,$F$2),IF(MOD(C110,2)=1,$H$1,$H$2))</f>
        <v>0</v>
      </c>
      <c r="J110" s="16"/>
      <c r="K110" s="5"/>
    </row>
    <row r="111" spans="1:11" x14ac:dyDescent="0.3">
      <c r="A111" s="2" t="s">
        <v>156</v>
      </c>
      <c r="B111" s="2" t="s">
        <v>146</v>
      </c>
      <c r="C111" s="2" t="s">
        <v>42</v>
      </c>
      <c r="D111" s="11">
        <f>Names!$L$6</f>
        <v>0</v>
      </c>
      <c r="E111" s="2" t="str">
        <f t="shared" si="2"/>
        <v/>
      </c>
      <c r="F111" s="11">
        <f t="shared" si="3"/>
        <v>0</v>
      </c>
      <c r="G111" s="11">
        <f>Concentrations!$L$6</f>
        <v>0</v>
      </c>
      <c r="H111" s="2" t="str">
        <f t="shared" si="5"/>
        <v>µM</v>
      </c>
      <c r="I111" s="2" cm="1">
        <f t="array" aca="1" ref="I111" ca="1">IF(MOD(COLUMN(INDIRECT(B111&amp;1)),2)=1,IF(MOD(C111,2)=1,$F$1,$F$2),IF(MOD(C111,2)=1,$H$1,$H$2))</f>
        <v>0</v>
      </c>
      <c r="J111" s="16"/>
      <c r="K111" s="5"/>
    </row>
    <row r="112" spans="1:11" x14ac:dyDescent="0.3">
      <c r="A112" s="2" t="s">
        <v>157</v>
      </c>
      <c r="B112" s="2" t="s">
        <v>146</v>
      </c>
      <c r="C112" s="2" t="s">
        <v>44</v>
      </c>
      <c r="D112" s="11">
        <f>Names!$M$6</f>
        <v>0</v>
      </c>
      <c r="E112" s="2" t="str">
        <f t="shared" si="2"/>
        <v/>
      </c>
      <c r="F112" s="11">
        <f t="shared" si="3"/>
        <v>0</v>
      </c>
      <c r="G112" s="11">
        <f>Concentrations!$M$6</f>
        <v>0</v>
      </c>
      <c r="H112" s="2" t="str">
        <f t="shared" si="5"/>
        <v>µM</v>
      </c>
      <c r="I112" s="2" cm="1">
        <f t="array" aca="1" ref="I112" ca="1">IF(MOD(COLUMN(INDIRECT(B112&amp;1)),2)=1,IF(MOD(C112,2)=1,$F$1,$F$2),IF(MOD(C112,2)=1,$H$1,$H$2))</f>
        <v>0</v>
      </c>
      <c r="J112" s="16"/>
      <c r="K112" s="5"/>
    </row>
    <row r="113" spans="1:11" x14ac:dyDescent="0.3">
      <c r="A113" s="2" t="s">
        <v>158</v>
      </c>
      <c r="B113" s="2" t="s">
        <v>146</v>
      </c>
      <c r="C113" s="2" t="s">
        <v>46</v>
      </c>
      <c r="D113" s="11">
        <f>Names!$N$6</f>
        <v>0</v>
      </c>
      <c r="E113" s="2" t="str">
        <f t="shared" si="2"/>
        <v/>
      </c>
      <c r="F113" s="11">
        <f t="shared" si="3"/>
        <v>0</v>
      </c>
      <c r="G113" s="11">
        <f>Concentrations!$N$6</f>
        <v>0</v>
      </c>
      <c r="H113" s="2" t="str">
        <f t="shared" si="5"/>
        <v>µM</v>
      </c>
      <c r="I113" s="2" cm="1">
        <f t="array" aca="1" ref="I113" ca="1">IF(MOD(COLUMN(INDIRECT(B113&amp;1)),2)=1,IF(MOD(C113,2)=1,$F$1,$F$2),IF(MOD(C113,2)=1,$H$1,$H$2))</f>
        <v>0</v>
      </c>
      <c r="J113" s="16"/>
      <c r="K113" s="5"/>
    </row>
    <row r="114" spans="1:11" x14ac:dyDescent="0.3">
      <c r="A114" s="2" t="s">
        <v>159</v>
      </c>
      <c r="B114" s="2" t="s">
        <v>146</v>
      </c>
      <c r="C114" s="2" t="s">
        <v>48</v>
      </c>
      <c r="D114" s="11">
        <f>Names!$O$6</f>
        <v>0</v>
      </c>
      <c r="E114" s="2" t="str">
        <f t="shared" si="2"/>
        <v/>
      </c>
      <c r="F114" s="11">
        <f t="shared" si="3"/>
        <v>0</v>
      </c>
      <c r="G114" s="11">
        <f>Concentrations!$O$6</f>
        <v>0</v>
      </c>
      <c r="H114" s="2" t="str">
        <f t="shared" si="5"/>
        <v>µM</v>
      </c>
      <c r="I114" s="2" cm="1">
        <f t="array" aca="1" ref="I114" ca="1">IF(MOD(COLUMN(INDIRECT(B114&amp;1)),2)=1,IF(MOD(C114,2)=1,$F$1,$F$2),IF(MOD(C114,2)=1,$H$1,$H$2))</f>
        <v>0</v>
      </c>
      <c r="J114" s="16"/>
      <c r="K114" s="5"/>
    </row>
    <row r="115" spans="1:11" x14ac:dyDescent="0.3">
      <c r="A115" s="2" t="s">
        <v>160</v>
      </c>
      <c r="B115" s="2" t="s">
        <v>146</v>
      </c>
      <c r="C115" s="2" t="s">
        <v>50</v>
      </c>
      <c r="D115" s="11">
        <f>Names!$P$6</f>
        <v>0</v>
      </c>
      <c r="E115" s="2" t="str">
        <f t="shared" si="2"/>
        <v/>
      </c>
      <c r="F115" s="11">
        <f t="shared" si="3"/>
        <v>0</v>
      </c>
      <c r="G115" s="11">
        <f>Concentrations!$P$6</f>
        <v>0</v>
      </c>
      <c r="H115" s="2" t="str">
        <f t="shared" si="5"/>
        <v>µM</v>
      </c>
      <c r="I115" s="2" cm="1">
        <f t="array" aca="1" ref="I115" ca="1">IF(MOD(COLUMN(INDIRECT(B115&amp;1)),2)=1,IF(MOD(C115,2)=1,$F$1,$F$2),IF(MOD(C115,2)=1,$H$1,$H$2))</f>
        <v>0</v>
      </c>
      <c r="J115" s="16"/>
      <c r="K115" s="5"/>
    </row>
    <row r="116" spans="1:11" x14ac:dyDescent="0.3">
      <c r="A116" s="2" t="s">
        <v>161</v>
      </c>
      <c r="B116" s="2" t="s">
        <v>146</v>
      </c>
      <c r="C116" s="2" t="s">
        <v>52</v>
      </c>
      <c r="D116" s="11">
        <f>Names!$Q$6</f>
        <v>0</v>
      </c>
      <c r="E116" s="2" t="str">
        <f t="shared" si="2"/>
        <v/>
      </c>
      <c r="F116" s="11">
        <f t="shared" si="3"/>
        <v>0</v>
      </c>
      <c r="G116" s="11">
        <f>Concentrations!$Q$6</f>
        <v>0</v>
      </c>
      <c r="H116" s="2" t="str">
        <f t="shared" si="5"/>
        <v>µM</v>
      </c>
      <c r="I116" s="2" cm="1">
        <f t="array" aca="1" ref="I116" ca="1">IF(MOD(COLUMN(INDIRECT(B116&amp;1)),2)=1,IF(MOD(C116,2)=1,$F$1,$F$2),IF(MOD(C116,2)=1,$H$1,$H$2))</f>
        <v>0</v>
      </c>
      <c r="J116" s="16"/>
      <c r="K116" s="5"/>
    </row>
    <row r="117" spans="1:11" x14ac:dyDescent="0.3">
      <c r="A117" s="2" t="s">
        <v>162</v>
      </c>
      <c r="B117" s="2" t="s">
        <v>146</v>
      </c>
      <c r="C117" s="2" t="s">
        <v>54</v>
      </c>
      <c r="D117" s="11">
        <f>Names!$R$6</f>
        <v>0</v>
      </c>
      <c r="E117" s="2" t="str">
        <f t="shared" si="2"/>
        <v/>
      </c>
      <c r="F117" s="11">
        <f t="shared" si="3"/>
        <v>0</v>
      </c>
      <c r="G117" s="11">
        <f>Concentrations!$R$6</f>
        <v>0</v>
      </c>
      <c r="H117" s="2" t="str">
        <f t="shared" si="5"/>
        <v>µM</v>
      </c>
      <c r="I117" s="2" cm="1">
        <f t="array" aca="1" ref="I117" ca="1">IF(MOD(COLUMN(INDIRECT(B117&amp;1)),2)=1,IF(MOD(C117,2)=1,$F$1,$F$2),IF(MOD(C117,2)=1,$H$1,$H$2))</f>
        <v>0</v>
      </c>
      <c r="J117" s="16"/>
      <c r="K117" s="5"/>
    </row>
    <row r="118" spans="1:11" x14ac:dyDescent="0.3">
      <c r="A118" s="2" t="s">
        <v>163</v>
      </c>
      <c r="B118" s="2" t="s">
        <v>146</v>
      </c>
      <c r="C118" s="2" t="s">
        <v>56</v>
      </c>
      <c r="D118" s="11">
        <f>Names!$S$6</f>
        <v>0</v>
      </c>
      <c r="E118" s="2" t="str">
        <f t="shared" si="2"/>
        <v/>
      </c>
      <c r="F118" s="11">
        <f t="shared" si="3"/>
        <v>0</v>
      </c>
      <c r="G118" s="11">
        <f>Concentrations!$S$6</f>
        <v>0</v>
      </c>
      <c r="H118" s="2" t="str">
        <f t="shared" si="5"/>
        <v>µM</v>
      </c>
      <c r="I118" s="2" cm="1">
        <f t="array" aca="1" ref="I118" ca="1">IF(MOD(COLUMN(INDIRECT(B118&amp;1)),2)=1,IF(MOD(C118,2)=1,$F$1,$F$2),IF(MOD(C118,2)=1,$H$1,$H$2))</f>
        <v>0</v>
      </c>
      <c r="J118" s="16"/>
      <c r="K118" s="5"/>
    </row>
    <row r="119" spans="1:11" x14ac:dyDescent="0.3">
      <c r="A119" s="2" t="s">
        <v>164</v>
      </c>
      <c r="B119" s="2" t="s">
        <v>146</v>
      </c>
      <c r="C119" s="2" t="s">
        <v>58</v>
      </c>
      <c r="D119" s="11">
        <f>Names!$T$6</f>
        <v>0</v>
      </c>
      <c r="E119" s="2" t="str">
        <f t="shared" si="2"/>
        <v/>
      </c>
      <c r="F119" s="11">
        <f t="shared" si="3"/>
        <v>0</v>
      </c>
      <c r="G119" s="11">
        <f>Concentrations!$T$6</f>
        <v>0</v>
      </c>
      <c r="H119" s="2" t="str">
        <f t="shared" si="5"/>
        <v>µM</v>
      </c>
      <c r="I119" s="2" cm="1">
        <f t="array" aca="1" ref="I119" ca="1">IF(MOD(COLUMN(INDIRECT(B119&amp;1)),2)=1,IF(MOD(C119,2)=1,$F$1,$F$2),IF(MOD(C119,2)=1,$H$1,$H$2))</f>
        <v>0</v>
      </c>
      <c r="J119" s="16"/>
      <c r="K119" s="5"/>
    </row>
    <row r="120" spans="1:11" x14ac:dyDescent="0.3">
      <c r="A120" s="2" t="s">
        <v>165</v>
      </c>
      <c r="B120" s="2" t="s">
        <v>146</v>
      </c>
      <c r="C120" s="2" t="s">
        <v>60</v>
      </c>
      <c r="D120" s="11">
        <f>Names!$U$6</f>
        <v>0</v>
      </c>
      <c r="E120" s="2" t="str">
        <f t="shared" si="2"/>
        <v/>
      </c>
      <c r="F120" s="11">
        <f t="shared" si="3"/>
        <v>0</v>
      </c>
      <c r="G120" s="11">
        <f>Concentrations!$U$6</f>
        <v>0</v>
      </c>
      <c r="H120" s="2" t="str">
        <f t="shared" si="5"/>
        <v>µM</v>
      </c>
      <c r="I120" s="2" cm="1">
        <f t="array" aca="1" ref="I120" ca="1">IF(MOD(COLUMN(INDIRECT(B120&amp;1)),2)=1,IF(MOD(C120,2)=1,$F$1,$F$2),IF(MOD(C120,2)=1,$H$1,$H$2))</f>
        <v>0</v>
      </c>
      <c r="J120" s="16"/>
      <c r="K120" s="5"/>
    </row>
    <row r="121" spans="1:11" x14ac:dyDescent="0.3">
      <c r="A121" s="2" t="s">
        <v>166</v>
      </c>
      <c r="B121" s="2" t="s">
        <v>146</v>
      </c>
      <c r="C121" s="2" t="s">
        <v>62</v>
      </c>
      <c r="D121" s="11">
        <f>Names!$V$6</f>
        <v>0</v>
      </c>
      <c r="E121" s="2" t="str">
        <f t="shared" si="2"/>
        <v/>
      </c>
      <c r="F121" s="11">
        <f t="shared" si="3"/>
        <v>0</v>
      </c>
      <c r="G121" s="11">
        <f>Concentrations!$V$6</f>
        <v>0</v>
      </c>
      <c r="H121" s="2" t="str">
        <f t="shared" si="5"/>
        <v>µM</v>
      </c>
      <c r="I121" s="2" cm="1">
        <f t="array" aca="1" ref="I121" ca="1">IF(MOD(COLUMN(INDIRECT(B121&amp;1)),2)=1,IF(MOD(C121,2)=1,$F$1,$F$2),IF(MOD(C121,2)=1,$H$1,$H$2))</f>
        <v>0</v>
      </c>
      <c r="J121" s="16"/>
      <c r="K121" s="5"/>
    </row>
    <row r="122" spans="1:11" x14ac:dyDescent="0.3">
      <c r="A122" s="2" t="s">
        <v>167</v>
      </c>
      <c r="B122" s="2" t="s">
        <v>146</v>
      </c>
      <c r="C122" s="2" t="s">
        <v>64</v>
      </c>
      <c r="D122" s="11">
        <f>Names!$W$6</f>
        <v>0</v>
      </c>
      <c r="E122" s="2" t="str">
        <f t="shared" si="2"/>
        <v/>
      </c>
      <c r="F122" s="11">
        <f t="shared" si="3"/>
        <v>0</v>
      </c>
      <c r="G122" s="11">
        <f>Concentrations!$W$6</f>
        <v>0</v>
      </c>
      <c r="H122" s="2" t="str">
        <f t="shared" si="5"/>
        <v>µM</v>
      </c>
      <c r="I122" s="2" cm="1">
        <f t="array" aca="1" ref="I122" ca="1">IF(MOD(COLUMN(INDIRECT(B122&amp;1)),2)=1,IF(MOD(C122,2)=1,$F$1,$F$2),IF(MOD(C122,2)=1,$H$1,$H$2))</f>
        <v>0</v>
      </c>
      <c r="J122" s="16"/>
      <c r="K122" s="5"/>
    </row>
    <row r="123" spans="1:11" x14ac:dyDescent="0.3">
      <c r="A123" s="2" t="s">
        <v>168</v>
      </c>
      <c r="B123" s="2" t="s">
        <v>146</v>
      </c>
      <c r="C123" s="2" t="s">
        <v>66</v>
      </c>
      <c r="D123" s="11" t="str">
        <f>Names!$X$6</f>
        <v>DMSO</v>
      </c>
      <c r="E123" s="2" t="str">
        <f t="shared" si="2"/>
        <v/>
      </c>
      <c r="F123" s="11" t="str">
        <f t="shared" si="3"/>
        <v>DMSO</v>
      </c>
      <c r="G123" s="11">
        <f>Concentrations!$X$6</f>
        <v>0</v>
      </c>
      <c r="H123" s="2" t="str">
        <f t="shared" si="5"/>
        <v>µM</v>
      </c>
      <c r="I123" s="2" cm="1">
        <f t="array" aca="1" ref="I123" ca="1">IF(MOD(COLUMN(INDIRECT(B123&amp;1)),2)=1,IF(MOD(C123,2)=1,$F$1,$F$2),IF(MOD(C123,2)=1,$H$1,$H$2))</f>
        <v>0</v>
      </c>
      <c r="J123" s="16"/>
      <c r="K123" s="5"/>
    </row>
    <row r="124" spans="1:11" x14ac:dyDescent="0.3">
      <c r="A124" s="2" t="s">
        <v>169</v>
      </c>
      <c r="B124" s="2" t="s">
        <v>146</v>
      </c>
      <c r="C124" s="2" t="s">
        <v>68</v>
      </c>
      <c r="D124" s="11" t="str">
        <f>Names!$Y$6</f>
        <v>DMSO</v>
      </c>
      <c r="E124" s="2" t="str">
        <f t="shared" si="2"/>
        <v/>
      </c>
      <c r="F124" s="11" t="str">
        <f t="shared" si="3"/>
        <v>DMSO</v>
      </c>
      <c r="G124" s="11">
        <f>Concentrations!$Y$6</f>
        <v>0</v>
      </c>
      <c r="H124" s="2" t="str">
        <f t="shared" si="5"/>
        <v>µM</v>
      </c>
      <c r="I124" s="2" cm="1">
        <f t="array" aca="1" ref="I124" ca="1">IF(MOD(COLUMN(INDIRECT(B124&amp;1)),2)=1,IF(MOD(C124,2)=1,$F$1,$F$2),IF(MOD(C124,2)=1,$H$1,$H$2))</f>
        <v>0</v>
      </c>
      <c r="J124" s="16"/>
      <c r="K124" s="5"/>
    </row>
    <row r="125" spans="1:11" x14ac:dyDescent="0.3">
      <c r="A125" s="2" t="s">
        <v>170</v>
      </c>
      <c r="B125" s="2" t="s">
        <v>171</v>
      </c>
      <c r="C125" s="2" t="s">
        <v>21</v>
      </c>
      <c r="D125" s="11" t="str">
        <f>Names!$B$7</f>
        <v>Cyclohexamide</v>
      </c>
      <c r="E125" s="2" t="str">
        <f t="shared" si="2"/>
        <v/>
      </c>
      <c r="F125" s="11" t="str">
        <f t="shared" si="3"/>
        <v>Cyclohexamide</v>
      </c>
      <c r="G125" s="11">
        <f>Concentrations!$B$7</f>
        <v>5</v>
      </c>
      <c r="H125" s="2" t="s">
        <v>122</v>
      </c>
      <c r="I125" s="2" cm="1">
        <f t="array" aca="1" ref="I125" ca="1">IF(MOD(COLUMN(INDIRECT(B125&amp;1)),2)=1,IF(MOD(C125,2)=1,$F$1,$F$2),IF(MOD(C125,2)=1,$H$1,$H$2))</f>
        <v>0</v>
      </c>
      <c r="J125" s="16"/>
      <c r="K125" s="5"/>
    </row>
    <row r="126" spans="1:11" x14ac:dyDescent="0.3">
      <c r="A126" s="2" t="s">
        <v>172</v>
      </c>
      <c r="B126" s="2" t="s">
        <v>171</v>
      </c>
      <c r="C126" s="2" t="s">
        <v>24</v>
      </c>
      <c r="D126" s="11" t="str">
        <f>Names!$C$7</f>
        <v>Fenbendazole</v>
      </c>
      <c r="E126" s="2" t="str">
        <f t="shared" si="2"/>
        <v/>
      </c>
      <c r="F126" s="11" t="str">
        <f t="shared" si="3"/>
        <v>Fenbendazole</v>
      </c>
      <c r="G126" s="11">
        <f>Concentrations!$C$7</f>
        <v>1</v>
      </c>
      <c r="H126" s="2" t="s">
        <v>122</v>
      </c>
      <c r="I126" s="2" cm="1">
        <f t="array" aca="1" ref="I126" ca="1">IF(MOD(COLUMN(INDIRECT(B126&amp;1)),2)=1,IF(MOD(C126,2)=1,$F$1,$F$2),IF(MOD(C126,2)=1,$H$1,$H$2))</f>
        <v>0</v>
      </c>
      <c r="J126" s="16"/>
      <c r="K126" s="5"/>
    </row>
    <row r="127" spans="1:11" x14ac:dyDescent="0.3">
      <c r="A127" s="2" t="s">
        <v>173</v>
      </c>
      <c r="B127" s="2" t="s">
        <v>171</v>
      </c>
      <c r="C127" s="2" t="s">
        <v>26</v>
      </c>
      <c r="D127" s="11">
        <f>Names!$D$7</f>
        <v>0</v>
      </c>
      <c r="E127" s="2" t="str">
        <f t="shared" si="2"/>
        <v/>
      </c>
      <c r="F127" s="11">
        <f t="shared" si="3"/>
        <v>0</v>
      </c>
      <c r="G127" s="11">
        <f>Concentrations!$D$7</f>
        <v>0</v>
      </c>
      <c r="H127" s="2" t="str">
        <f t="shared" ref="H127:H148" si="6">IF(LEFT(D127,2)="KC","%","µM")</f>
        <v>µM</v>
      </c>
      <c r="I127" s="2" cm="1">
        <f t="array" aca="1" ref="I127" ca="1">IF(MOD(COLUMN(INDIRECT(B127&amp;1)),2)=1,IF(MOD(C127,2)=1,$F$1,$F$2),IF(MOD(C127,2)=1,$H$1,$H$2))</f>
        <v>0</v>
      </c>
      <c r="J127" s="16"/>
      <c r="K127" s="5"/>
    </row>
    <row r="128" spans="1:11" x14ac:dyDescent="0.3">
      <c r="A128" s="2" t="s">
        <v>174</v>
      </c>
      <c r="B128" s="2" t="s">
        <v>171</v>
      </c>
      <c r="C128" s="2" t="s">
        <v>28</v>
      </c>
      <c r="D128" s="11">
        <f>Names!$E$7</f>
        <v>0</v>
      </c>
      <c r="E128" s="2" t="str">
        <f t="shared" si="2"/>
        <v/>
      </c>
      <c r="F128" s="11">
        <f t="shared" si="3"/>
        <v>0</v>
      </c>
      <c r="G128" s="11">
        <f>Concentrations!$E$7</f>
        <v>0</v>
      </c>
      <c r="H128" s="2" t="str">
        <f t="shared" si="6"/>
        <v>µM</v>
      </c>
      <c r="I128" s="2" cm="1">
        <f t="array" aca="1" ref="I128" ca="1">IF(MOD(COLUMN(INDIRECT(B128&amp;1)),2)=1,IF(MOD(C128,2)=1,$F$1,$F$2),IF(MOD(C128,2)=1,$H$1,$H$2))</f>
        <v>0</v>
      </c>
      <c r="J128" s="16"/>
      <c r="K128" s="5"/>
    </row>
    <row r="129" spans="1:11" x14ac:dyDescent="0.3">
      <c r="A129" s="2" t="s">
        <v>175</v>
      </c>
      <c r="B129" s="2" t="s">
        <v>171</v>
      </c>
      <c r="C129" s="2" t="s">
        <v>30</v>
      </c>
      <c r="D129" s="11">
        <f>Names!$F$7</f>
        <v>0</v>
      </c>
      <c r="E129" s="2" t="str">
        <f t="shared" si="2"/>
        <v/>
      </c>
      <c r="F129" s="11">
        <f t="shared" si="3"/>
        <v>0</v>
      </c>
      <c r="G129" s="11">
        <f>Concentrations!$F$7</f>
        <v>0</v>
      </c>
      <c r="H129" s="2" t="str">
        <f t="shared" si="6"/>
        <v>µM</v>
      </c>
      <c r="I129" s="2" cm="1">
        <f t="array" aca="1" ref="I129" ca="1">IF(MOD(COLUMN(INDIRECT(B129&amp;1)),2)=1,IF(MOD(C129,2)=1,$F$1,$F$2),IF(MOD(C129,2)=1,$H$1,$H$2))</f>
        <v>0</v>
      </c>
      <c r="J129" s="16"/>
      <c r="K129" s="5"/>
    </row>
    <row r="130" spans="1:11" x14ac:dyDescent="0.3">
      <c r="A130" s="2" t="s">
        <v>176</v>
      </c>
      <c r="B130" s="2" t="s">
        <v>171</v>
      </c>
      <c r="C130" s="2" t="s">
        <v>32</v>
      </c>
      <c r="D130" s="11">
        <f>Names!$G$7</f>
        <v>0</v>
      </c>
      <c r="E130" s="2" t="str">
        <f t="shared" si="2"/>
        <v/>
      </c>
      <c r="F130" s="11">
        <f t="shared" si="3"/>
        <v>0</v>
      </c>
      <c r="G130" s="11">
        <f>Concentrations!$G$7</f>
        <v>0</v>
      </c>
      <c r="H130" s="2" t="str">
        <f t="shared" si="6"/>
        <v>µM</v>
      </c>
      <c r="I130" s="2" cm="1">
        <f t="array" aca="1" ref="I130" ca="1">IF(MOD(COLUMN(INDIRECT(B130&amp;1)),2)=1,IF(MOD(C130,2)=1,$F$1,$F$2),IF(MOD(C130,2)=1,$H$1,$H$2))</f>
        <v>0</v>
      </c>
      <c r="J130" s="16"/>
      <c r="K130" s="5"/>
    </row>
    <row r="131" spans="1:11" x14ac:dyDescent="0.3">
      <c r="A131" s="2" t="s">
        <v>177</v>
      </c>
      <c r="B131" s="2" t="s">
        <v>171</v>
      </c>
      <c r="C131" s="2" t="s">
        <v>34</v>
      </c>
      <c r="D131" s="11">
        <f>Names!$H$7</f>
        <v>0</v>
      </c>
      <c r="E131" s="2" t="str">
        <f t="shared" si="2"/>
        <v/>
      </c>
      <c r="F131" s="11">
        <f t="shared" si="3"/>
        <v>0</v>
      </c>
      <c r="G131" s="11">
        <f>Concentrations!$H$7</f>
        <v>0</v>
      </c>
      <c r="H131" s="2" t="str">
        <f t="shared" si="6"/>
        <v>µM</v>
      </c>
      <c r="I131" s="2" cm="1">
        <f t="array" aca="1" ref="I131" ca="1">IF(MOD(COLUMN(INDIRECT(B131&amp;1)),2)=1,IF(MOD(C131,2)=1,$F$1,$F$2),IF(MOD(C131,2)=1,$H$1,$H$2))</f>
        <v>0</v>
      </c>
      <c r="J131" s="16"/>
      <c r="K131" s="5"/>
    </row>
    <row r="132" spans="1:11" x14ac:dyDescent="0.3">
      <c r="A132" s="2" t="s">
        <v>178</v>
      </c>
      <c r="B132" s="2" t="s">
        <v>171</v>
      </c>
      <c r="C132" s="2" t="s">
        <v>36</v>
      </c>
      <c r="D132" s="11">
        <f>Names!$I$7</f>
        <v>0</v>
      </c>
      <c r="E132" s="2" t="str">
        <f t="shared" si="2"/>
        <v/>
      </c>
      <c r="F132" s="11">
        <f t="shared" si="3"/>
        <v>0</v>
      </c>
      <c r="G132" s="11">
        <f>Concentrations!$I$7</f>
        <v>0</v>
      </c>
      <c r="H132" s="2" t="str">
        <f t="shared" si="6"/>
        <v>µM</v>
      </c>
      <c r="I132" s="2" cm="1">
        <f t="array" aca="1" ref="I132" ca="1">IF(MOD(COLUMN(INDIRECT(B132&amp;1)),2)=1,IF(MOD(C132,2)=1,$F$1,$F$2),IF(MOD(C132,2)=1,$H$1,$H$2))</f>
        <v>0</v>
      </c>
      <c r="J132" s="16"/>
      <c r="K132" s="5"/>
    </row>
    <row r="133" spans="1:11" x14ac:dyDescent="0.3">
      <c r="A133" s="2" t="s">
        <v>179</v>
      </c>
      <c r="B133" s="2" t="s">
        <v>171</v>
      </c>
      <c r="C133" s="2" t="s">
        <v>38</v>
      </c>
      <c r="D133" s="11">
        <f>Names!$J$7</f>
        <v>0</v>
      </c>
      <c r="E133" s="2" t="str">
        <f t="shared" ref="E133:E196" si="7">IF(LEFT(D133,2)="KC",IF(_xlfn.CEILING.MATH(C133/2)-2&lt;1,"",_xlfn.CEILING.MATH(C133/2)-2),"")</f>
        <v/>
      </c>
      <c r="F133" s="11">
        <f t="shared" ref="F133:F196" si="8">IF(E133="",D133,_xlfn.CONCAT(D133,"_",E133))</f>
        <v>0</v>
      </c>
      <c r="G133" s="11">
        <f>Concentrations!$J$7</f>
        <v>0</v>
      </c>
      <c r="H133" s="2" t="str">
        <f t="shared" si="6"/>
        <v>µM</v>
      </c>
      <c r="I133" s="2" cm="1">
        <f t="array" aca="1" ref="I133" ca="1">IF(MOD(COLUMN(INDIRECT(B133&amp;1)),2)=1,IF(MOD(C133,2)=1,$F$1,$F$2),IF(MOD(C133,2)=1,$H$1,$H$2))</f>
        <v>0</v>
      </c>
      <c r="J133" s="16"/>
      <c r="K133" s="5"/>
    </row>
    <row r="134" spans="1:11" x14ac:dyDescent="0.3">
      <c r="A134" s="2" t="s">
        <v>180</v>
      </c>
      <c r="B134" s="2" t="s">
        <v>171</v>
      </c>
      <c r="C134" s="2" t="s">
        <v>40</v>
      </c>
      <c r="D134" s="11">
        <f>Names!$K$7</f>
        <v>0</v>
      </c>
      <c r="E134" s="2" t="str">
        <f t="shared" si="7"/>
        <v/>
      </c>
      <c r="F134" s="11">
        <f t="shared" si="8"/>
        <v>0</v>
      </c>
      <c r="G134" s="11">
        <f>Concentrations!$K$7</f>
        <v>0</v>
      </c>
      <c r="H134" s="2" t="str">
        <f t="shared" si="6"/>
        <v>µM</v>
      </c>
      <c r="I134" s="2" cm="1">
        <f t="array" aca="1" ref="I134" ca="1">IF(MOD(COLUMN(INDIRECT(B134&amp;1)),2)=1,IF(MOD(C134,2)=1,$F$1,$F$2),IF(MOD(C134,2)=1,$H$1,$H$2))</f>
        <v>0</v>
      </c>
      <c r="J134" s="16"/>
      <c r="K134" s="5"/>
    </row>
    <row r="135" spans="1:11" x14ac:dyDescent="0.3">
      <c r="A135" s="2" t="s">
        <v>181</v>
      </c>
      <c r="B135" s="2" t="s">
        <v>171</v>
      </c>
      <c r="C135" s="2" t="s">
        <v>42</v>
      </c>
      <c r="D135" s="11">
        <f>Names!$L$7</f>
        <v>0</v>
      </c>
      <c r="E135" s="2" t="str">
        <f t="shared" si="7"/>
        <v/>
      </c>
      <c r="F135" s="11">
        <f t="shared" si="8"/>
        <v>0</v>
      </c>
      <c r="G135" s="11">
        <f>Concentrations!$L$7</f>
        <v>0</v>
      </c>
      <c r="H135" s="2" t="str">
        <f t="shared" si="6"/>
        <v>µM</v>
      </c>
      <c r="I135" s="2" cm="1">
        <f t="array" aca="1" ref="I135" ca="1">IF(MOD(COLUMN(INDIRECT(B135&amp;1)),2)=1,IF(MOD(C135,2)=1,$F$1,$F$2),IF(MOD(C135,2)=1,$H$1,$H$2))</f>
        <v>0</v>
      </c>
      <c r="J135" s="16"/>
      <c r="K135" s="5"/>
    </row>
    <row r="136" spans="1:11" x14ac:dyDescent="0.3">
      <c r="A136" s="2" t="s">
        <v>182</v>
      </c>
      <c r="B136" s="2" t="s">
        <v>171</v>
      </c>
      <c r="C136" s="2" t="s">
        <v>44</v>
      </c>
      <c r="D136" s="11">
        <f>Names!$M$7</f>
        <v>0</v>
      </c>
      <c r="E136" s="2" t="str">
        <f t="shared" si="7"/>
        <v/>
      </c>
      <c r="F136" s="11">
        <f t="shared" si="8"/>
        <v>0</v>
      </c>
      <c r="G136" s="11">
        <f>Concentrations!$M$7</f>
        <v>0</v>
      </c>
      <c r="H136" s="2" t="str">
        <f t="shared" si="6"/>
        <v>µM</v>
      </c>
      <c r="I136" s="2" cm="1">
        <f t="array" aca="1" ref="I136" ca="1">IF(MOD(COLUMN(INDIRECT(B136&amp;1)),2)=1,IF(MOD(C136,2)=1,$F$1,$F$2),IF(MOD(C136,2)=1,$H$1,$H$2))</f>
        <v>0</v>
      </c>
      <c r="J136" s="16"/>
      <c r="K136" s="5"/>
    </row>
    <row r="137" spans="1:11" x14ac:dyDescent="0.3">
      <c r="A137" s="2" t="s">
        <v>183</v>
      </c>
      <c r="B137" s="2" t="s">
        <v>171</v>
      </c>
      <c r="C137" s="2" t="s">
        <v>46</v>
      </c>
      <c r="D137" s="11">
        <f>Names!$N$7</f>
        <v>0</v>
      </c>
      <c r="E137" s="2" t="str">
        <f t="shared" si="7"/>
        <v/>
      </c>
      <c r="F137" s="11">
        <f t="shared" si="8"/>
        <v>0</v>
      </c>
      <c r="G137" s="11">
        <f>Concentrations!$N$7</f>
        <v>0</v>
      </c>
      <c r="H137" s="2" t="str">
        <f t="shared" si="6"/>
        <v>µM</v>
      </c>
      <c r="I137" s="2" cm="1">
        <f t="array" aca="1" ref="I137" ca="1">IF(MOD(COLUMN(INDIRECT(B137&amp;1)),2)=1,IF(MOD(C137,2)=1,$F$1,$F$2),IF(MOD(C137,2)=1,$H$1,$H$2))</f>
        <v>0</v>
      </c>
      <c r="J137" s="16"/>
      <c r="K137" s="5"/>
    </row>
    <row r="138" spans="1:11" x14ac:dyDescent="0.3">
      <c r="A138" s="2" t="s">
        <v>184</v>
      </c>
      <c r="B138" s="2" t="s">
        <v>171</v>
      </c>
      <c r="C138" s="2" t="s">
        <v>48</v>
      </c>
      <c r="D138" s="11">
        <f>Names!$O$7</f>
        <v>0</v>
      </c>
      <c r="E138" s="2" t="str">
        <f t="shared" si="7"/>
        <v/>
      </c>
      <c r="F138" s="11">
        <f t="shared" si="8"/>
        <v>0</v>
      </c>
      <c r="G138" s="11">
        <f>Concentrations!$O$7</f>
        <v>0</v>
      </c>
      <c r="H138" s="2" t="str">
        <f t="shared" si="6"/>
        <v>µM</v>
      </c>
      <c r="I138" s="2" cm="1">
        <f t="array" aca="1" ref="I138" ca="1">IF(MOD(COLUMN(INDIRECT(B138&amp;1)),2)=1,IF(MOD(C138,2)=1,$F$1,$F$2),IF(MOD(C138,2)=1,$H$1,$H$2))</f>
        <v>0</v>
      </c>
      <c r="J138" s="16"/>
      <c r="K138" s="5"/>
    </row>
    <row r="139" spans="1:11" x14ac:dyDescent="0.3">
      <c r="A139" s="2" t="s">
        <v>185</v>
      </c>
      <c r="B139" s="2" t="s">
        <v>171</v>
      </c>
      <c r="C139" s="2" t="s">
        <v>50</v>
      </c>
      <c r="D139" s="11">
        <f>Names!$P$7</f>
        <v>0</v>
      </c>
      <c r="E139" s="2" t="str">
        <f t="shared" si="7"/>
        <v/>
      </c>
      <c r="F139" s="11">
        <f t="shared" si="8"/>
        <v>0</v>
      </c>
      <c r="G139" s="11">
        <f>Concentrations!$P$7</f>
        <v>0</v>
      </c>
      <c r="H139" s="2" t="str">
        <f t="shared" si="6"/>
        <v>µM</v>
      </c>
      <c r="I139" s="2" cm="1">
        <f t="array" aca="1" ref="I139" ca="1">IF(MOD(COLUMN(INDIRECT(B139&amp;1)),2)=1,IF(MOD(C139,2)=1,$F$1,$F$2),IF(MOD(C139,2)=1,$H$1,$H$2))</f>
        <v>0</v>
      </c>
      <c r="J139" s="16"/>
      <c r="K139" s="5"/>
    </row>
    <row r="140" spans="1:11" x14ac:dyDescent="0.3">
      <c r="A140" s="2" t="s">
        <v>186</v>
      </c>
      <c r="B140" s="2" t="s">
        <v>171</v>
      </c>
      <c r="C140" s="2" t="s">
        <v>52</v>
      </c>
      <c r="D140" s="11">
        <f>Names!$Q$7</f>
        <v>0</v>
      </c>
      <c r="E140" s="2" t="str">
        <f t="shared" si="7"/>
        <v/>
      </c>
      <c r="F140" s="11">
        <f t="shared" si="8"/>
        <v>0</v>
      </c>
      <c r="G140" s="11">
        <f>Concentrations!$Q$7</f>
        <v>0</v>
      </c>
      <c r="H140" s="2" t="str">
        <f t="shared" si="6"/>
        <v>µM</v>
      </c>
      <c r="I140" s="2" cm="1">
        <f t="array" aca="1" ref="I140" ca="1">IF(MOD(COLUMN(INDIRECT(B140&amp;1)),2)=1,IF(MOD(C140,2)=1,$F$1,$F$2),IF(MOD(C140,2)=1,$H$1,$H$2))</f>
        <v>0</v>
      </c>
      <c r="J140" s="16"/>
      <c r="K140" s="5"/>
    </row>
    <row r="141" spans="1:11" x14ac:dyDescent="0.3">
      <c r="A141" s="2" t="s">
        <v>187</v>
      </c>
      <c r="B141" s="2" t="s">
        <v>171</v>
      </c>
      <c r="C141" s="2" t="s">
        <v>54</v>
      </c>
      <c r="D141" s="11">
        <f>Names!$R$7</f>
        <v>0</v>
      </c>
      <c r="E141" s="2" t="str">
        <f t="shared" si="7"/>
        <v/>
      </c>
      <c r="F141" s="11">
        <f t="shared" si="8"/>
        <v>0</v>
      </c>
      <c r="G141" s="11">
        <f>Concentrations!$R$7</f>
        <v>0</v>
      </c>
      <c r="H141" s="2" t="str">
        <f t="shared" si="6"/>
        <v>µM</v>
      </c>
      <c r="I141" s="2" cm="1">
        <f t="array" aca="1" ref="I141" ca="1">IF(MOD(COLUMN(INDIRECT(B141&amp;1)),2)=1,IF(MOD(C141,2)=1,$F$1,$F$2),IF(MOD(C141,2)=1,$H$1,$H$2))</f>
        <v>0</v>
      </c>
      <c r="J141" s="16"/>
      <c r="K141" s="5"/>
    </row>
    <row r="142" spans="1:11" x14ac:dyDescent="0.3">
      <c r="A142" s="2" t="s">
        <v>188</v>
      </c>
      <c r="B142" s="2" t="s">
        <v>171</v>
      </c>
      <c r="C142" s="2" t="s">
        <v>56</v>
      </c>
      <c r="D142" s="11">
        <f>Names!$S$7</f>
        <v>0</v>
      </c>
      <c r="E142" s="2" t="str">
        <f t="shared" si="7"/>
        <v/>
      </c>
      <c r="F142" s="11">
        <f t="shared" si="8"/>
        <v>0</v>
      </c>
      <c r="G142" s="11">
        <f>Concentrations!$S$7</f>
        <v>0</v>
      </c>
      <c r="H142" s="2" t="str">
        <f t="shared" si="6"/>
        <v>µM</v>
      </c>
      <c r="I142" s="2" cm="1">
        <f t="array" aca="1" ref="I142" ca="1">IF(MOD(COLUMN(INDIRECT(B142&amp;1)),2)=1,IF(MOD(C142,2)=1,$F$1,$F$2),IF(MOD(C142,2)=1,$H$1,$H$2))</f>
        <v>0</v>
      </c>
      <c r="J142" s="16"/>
      <c r="K142" s="5"/>
    </row>
    <row r="143" spans="1:11" x14ac:dyDescent="0.3">
      <c r="A143" s="2" t="s">
        <v>189</v>
      </c>
      <c r="B143" s="2" t="s">
        <v>171</v>
      </c>
      <c r="C143" s="2" t="s">
        <v>58</v>
      </c>
      <c r="D143" s="11">
        <f>Names!$T$7</f>
        <v>0</v>
      </c>
      <c r="E143" s="2" t="str">
        <f t="shared" si="7"/>
        <v/>
      </c>
      <c r="F143" s="11">
        <f t="shared" si="8"/>
        <v>0</v>
      </c>
      <c r="G143" s="11">
        <f>Concentrations!$T$7</f>
        <v>0</v>
      </c>
      <c r="H143" s="2" t="str">
        <f t="shared" si="6"/>
        <v>µM</v>
      </c>
      <c r="I143" s="2" cm="1">
        <f t="array" aca="1" ref="I143" ca="1">IF(MOD(COLUMN(INDIRECT(B143&amp;1)),2)=1,IF(MOD(C143,2)=1,$F$1,$F$2),IF(MOD(C143,2)=1,$H$1,$H$2))</f>
        <v>0</v>
      </c>
      <c r="J143" s="16"/>
      <c r="K143" s="5"/>
    </row>
    <row r="144" spans="1:11" x14ac:dyDescent="0.3">
      <c r="A144" s="2" t="s">
        <v>190</v>
      </c>
      <c r="B144" s="2" t="s">
        <v>171</v>
      </c>
      <c r="C144" s="2" t="s">
        <v>60</v>
      </c>
      <c r="D144" s="11">
        <f>Names!$U$7</f>
        <v>0</v>
      </c>
      <c r="E144" s="2" t="str">
        <f t="shared" si="7"/>
        <v/>
      </c>
      <c r="F144" s="11">
        <f t="shared" si="8"/>
        <v>0</v>
      </c>
      <c r="G144" s="11">
        <f>Concentrations!$U$7</f>
        <v>0</v>
      </c>
      <c r="H144" s="2" t="str">
        <f t="shared" si="6"/>
        <v>µM</v>
      </c>
      <c r="I144" s="2" cm="1">
        <f t="array" aca="1" ref="I144" ca="1">IF(MOD(COLUMN(INDIRECT(B144&amp;1)),2)=1,IF(MOD(C144,2)=1,$F$1,$F$2),IF(MOD(C144,2)=1,$H$1,$H$2))</f>
        <v>0</v>
      </c>
      <c r="J144" s="16"/>
      <c r="K144" s="5"/>
    </row>
    <row r="145" spans="1:11" x14ac:dyDescent="0.3">
      <c r="A145" s="2" t="s">
        <v>191</v>
      </c>
      <c r="B145" s="2" t="s">
        <v>171</v>
      </c>
      <c r="C145" s="2" t="s">
        <v>62</v>
      </c>
      <c r="D145" s="11">
        <f>Names!$V$7</f>
        <v>0</v>
      </c>
      <c r="E145" s="2" t="str">
        <f t="shared" si="7"/>
        <v/>
      </c>
      <c r="F145" s="11">
        <f t="shared" si="8"/>
        <v>0</v>
      </c>
      <c r="G145" s="11">
        <f>Concentrations!$V$7</f>
        <v>0</v>
      </c>
      <c r="H145" s="2" t="str">
        <f t="shared" si="6"/>
        <v>µM</v>
      </c>
      <c r="I145" s="2" cm="1">
        <f t="array" aca="1" ref="I145" ca="1">IF(MOD(COLUMN(INDIRECT(B145&amp;1)),2)=1,IF(MOD(C145,2)=1,$F$1,$F$2),IF(MOD(C145,2)=1,$H$1,$H$2))</f>
        <v>0</v>
      </c>
      <c r="J145" s="16"/>
      <c r="K145" s="5"/>
    </row>
    <row r="146" spans="1:11" x14ac:dyDescent="0.3">
      <c r="A146" s="2" t="s">
        <v>192</v>
      </c>
      <c r="B146" s="2" t="s">
        <v>171</v>
      </c>
      <c r="C146" s="2" t="s">
        <v>64</v>
      </c>
      <c r="D146" s="11">
        <f>Names!$W$7</f>
        <v>0</v>
      </c>
      <c r="E146" s="2" t="str">
        <f t="shared" si="7"/>
        <v/>
      </c>
      <c r="F146" s="11">
        <f t="shared" si="8"/>
        <v>0</v>
      </c>
      <c r="G146" s="11">
        <f>Concentrations!$W$7</f>
        <v>0</v>
      </c>
      <c r="H146" s="2" t="str">
        <f t="shared" si="6"/>
        <v>µM</v>
      </c>
      <c r="I146" s="2" cm="1">
        <f t="array" aca="1" ref="I146" ca="1">IF(MOD(COLUMN(INDIRECT(B146&amp;1)),2)=1,IF(MOD(C146,2)=1,$F$1,$F$2),IF(MOD(C146,2)=1,$H$1,$H$2))</f>
        <v>0</v>
      </c>
      <c r="J146" s="16"/>
      <c r="K146" s="5"/>
    </row>
    <row r="147" spans="1:11" x14ac:dyDescent="0.3">
      <c r="A147" s="2" t="s">
        <v>193</v>
      </c>
      <c r="B147" s="2" t="s">
        <v>171</v>
      </c>
      <c r="C147" s="2" t="s">
        <v>66</v>
      </c>
      <c r="D147" s="11" t="str">
        <f>Names!$X$7</f>
        <v>DMSO</v>
      </c>
      <c r="E147" s="2" t="str">
        <f t="shared" si="7"/>
        <v/>
      </c>
      <c r="F147" s="11" t="str">
        <f t="shared" si="8"/>
        <v>DMSO</v>
      </c>
      <c r="G147" s="11">
        <f>Concentrations!$X$7</f>
        <v>0</v>
      </c>
      <c r="H147" s="2" t="str">
        <f t="shared" si="6"/>
        <v>µM</v>
      </c>
      <c r="I147" s="2" cm="1">
        <f t="array" aca="1" ref="I147" ca="1">IF(MOD(COLUMN(INDIRECT(B147&amp;1)),2)=1,IF(MOD(C147,2)=1,$F$1,$F$2),IF(MOD(C147,2)=1,$H$1,$H$2))</f>
        <v>0</v>
      </c>
      <c r="J147" s="16"/>
      <c r="K147" s="5"/>
    </row>
    <row r="148" spans="1:11" x14ac:dyDescent="0.3">
      <c r="A148" s="2" t="s">
        <v>194</v>
      </c>
      <c r="B148" s="2" t="s">
        <v>171</v>
      </c>
      <c r="C148" s="2" t="s">
        <v>68</v>
      </c>
      <c r="D148" s="11" t="str">
        <f>Names!$Y$7</f>
        <v>DMSO</v>
      </c>
      <c r="E148" s="2" t="str">
        <f t="shared" si="7"/>
        <v/>
      </c>
      <c r="F148" s="11" t="str">
        <f t="shared" si="8"/>
        <v>DMSO</v>
      </c>
      <c r="G148" s="11">
        <f>Concentrations!$Y$7</f>
        <v>0</v>
      </c>
      <c r="H148" s="2" t="str">
        <f t="shared" si="6"/>
        <v>µM</v>
      </c>
      <c r="I148" s="2" cm="1">
        <f t="array" aca="1" ref="I148" ca="1">IF(MOD(COLUMN(INDIRECT(B148&amp;1)),2)=1,IF(MOD(C148,2)=1,$F$1,$F$2),IF(MOD(C148,2)=1,$H$1,$H$2))</f>
        <v>0</v>
      </c>
      <c r="J148" s="16"/>
      <c r="K148" s="5"/>
    </row>
    <row r="149" spans="1:11" x14ac:dyDescent="0.3">
      <c r="A149" s="2" t="s">
        <v>195</v>
      </c>
      <c r="B149" s="2" t="s">
        <v>196</v>
      </c>
      <c r="C149" s="2" t="s">
        <v>21</v>
      </c>
      <c r="D149" s="11" t="str">
        <f>Names!$B$8</f>
        <v>DMSO</v>
      </c>
      <c r="E149" s="2" t="str">
        <f t="shared" si="7"/>
        <v/>
      </c>
      <c r="F149" s="11" t="str">
        <f t="shared" si="8"/>
        <v>DMSO</v>
      </c>
      <c r="G149" s="11">
        <f>Concentrations!$B$8</f>
        <v>0</v>
      </c>
      <c r="H149" s="2" t="s">
        <v>22</v>
      </c>
      <c r="I149" s="2" cm="1">
        <f t="array" aca="1" ref="I149" ca="1">IF(MOD(COLUMN(INDIRECT(B149&amp;1)),2)=1,IF(MOD(C149,2)=1,$F$1,$F$2),IF(MOD(C149,2)=1,$H$1,$H$2))</f>
        <v>0</v>
      </c>
      <c r="J149" s="16"/>
      <c r="K149" s="5"/>
    </row>
    <row r="150" spans="1:11" x14ac:dyDescent="0.3">
      <c r="A150" s="2" t="s">
        <v>197</v>
      </c>
      <c r="B150" s="2" t="s">
        <v>196</v>
      </c>
      <c r="C150" s="2" t="s">
        <v>24</v>
      </c>
      <c r="D150" s="11" t="str">
        <f>Names!$C$8</f>
        <v>DMSO</v>
      </c>
      <c r="E150" s="2" t="str">
        <f t="shared" si="7"/>
        <v/>
      </c>
      <c r="F150" s="11" t="str">
        <f t="shared" si="8"/>
        <v>DMSO</v>
      </c>
      <c r="G150" s="11">
        <f>Concentrations!$C$8</f>
        <v>0</v>
      </c>
      <c r="H150" s="2" t="s">
        <v>122</v>
      </c>
      <c r="I150" s="2" cm="1">
        <f t="array" aca="1" ref="I150" ca="1">IF(MOD(COLUMN(INDIRECT(B150&amp;1)),2)=1,IF(MOD(C150,2)=1,$F$1,$F$2),IF(MOD(C150,2)=1,$H$1,$H$2))</f>
        <v>0</v>
      </c>
      <c r="J150" s="16"/>
      <c r="K150" s="5"/>
    </row>
    <row r="151" spans="1:11" x14ac:dyDescent="0.3">
      <c r="A151" s="2" t="s">
        <v>198</v>
      </c>
      <c r="B151" s="2" t="s">
        <v>196</v>
      </c>
      <c r="C151" s="2" t="s">
        <v>26</v>
      </c>
      <c r="D151" s="11">
        <f>Names!$D$8</f>
        <v>0</v>
      </c>
      <c r="E151" s="2" t="str">
        <f t="shared" si="7"/>
        <v/>
      </c>
      <c r="F151" s="11">
        <f t="shared" si="8"/>
        <v>0</v>
      </c>
      <c r="G151" s="11">
        <f>Concentrations!$D$8</f>
        <v>0</v>
      </c>
      <c r="H151" s="2" t="str">
        <f t="shared" ref="H151:H172" si="9">IF(LEFT(D151,2)="KC","%","µM")</f>
        <v>µM</v>
      </c>
      <c r="I151" s="2" cm="1">
        <f t="array" aca="1" ref="I151" ca="1">IF(MOD(COLUMN(INDIRECT(B151&amp;1)),2)=1,IF(MOD(C151,2)=1,$F$1,$F$2),IF(MOD(C151,2)=1,$H$1,$H$2))</f>
        <v>0</v>
      </c>
      <c r="J151" s="16"/>
      <c r="K151" s="5"/>
    </row>
    <row r="152" spans="1:11" x14ac:dyDescent="0.3">
      <c r="A152" s="2" t="s">
        <v>199</v>
      </c>
      <c r="B152" s="2" t="s">
        <v>196</v>
      </c>
      <c r="C152" s="2" t="s">
        <v>28</v>
      </c>
      <c r="D152" s="11">
        <f>Names!$E$8</f>
        <v>0</v>
      </c>
      <c r="E152" s="2" t="str">
        <f t="shared" si="7"/>
        <v/>
      </c>
      <c r="F152" s="11">
        <f t="shared" si="8"/>
        <v>0</v>
      </c>
      <c r="G152" s="11">
        <f>Concentrations!$E$8</f>
        <v>0</v>
      </c>
      <c r="H152" s="2" t="str">
        <f t="shared" si="9"/>
        <v>µM</v>
      </c>
      <c r="I152" s="2" cm="1">
        <f t="array" aca="1" ref="I152" ca="1">IF(MOD(COLUMN(INDIRECT(B152&amp;1)),2)=1,IF(MOD(C152,2)=1,$F$1,$F$2),IF(MOD(C152,2)=1,$H$1,$H$2))</f>
        <v>0</v>
      </c>
      <c r="J152" s="16"/>
      <c r="K152" s="5"/>
    </row>
    <row r="153" spans="1:11" x14ac:dyDescent="0.3">
      <c r="A153" s="2" t="s">
        <v>200</v>
      </c>
      <c r="B153" s="2" t="s">
        <v>196</v>
      </c>
      <c r="C153" s="2" t="s">
        <v>30</v>
      </c>
      <c r="D153" s="11">
        <f>Names!$F$8</f>
        <v>0</v>
      </c>
      <c r="E153" s="2" t="str">
        <f t="shared" si="7"/>
        <v/>
      </c>
      <c r="F153" s="11">
        <f t="shared" si="8"/>
        <v>0</v>
      </c>
      <c r="G153" s="11">
        <f>Concentrations!$F$8</f>
        <v>0</v>
      </c>
      <c r="H153" s="2" t="str">
        <f t="shared" si="9"/>
        <v>µM</v>
      </c>
      <c r="I153" s="2" cm="1">
        <f t="array" aca="1" ref="I153" ca="1">IF(MOD(COLUMN(INDIRECT(B153&amp;1)),2)=1,IF(MOD(C153,2)=1,$F$1,$F$2),IF(MOD(C153,2)=1,$H$1,$H$2))</f>
        <v>0</v>
      </c>
      <c r="J153" s="16"/>
      <c r="K153" s="5"/>
    </row>
    <row r="154" spans="1:11" x14ac:dyDescent="0.3">
      <c r="A154" s="2" t="s">
        <v>201</v>
      </c>
      <c r="B154" s="2" t="s">
        <v>196</v>
      </c>
      <c r="C154" s="2" t="s">
        <v>32</v>
      </c>
      <c r="D154" s="11">
        <f>Names!$G$8</f>
        <v>0</v>
      </c>
      <c r="E154" s="2" t="str">
        <f t="shared" si="7"/>
        <v/>
      </c>
      <c r="F154" s="11">
        <f t="shared" si="8"/>
        <v>0</v>
      </c>
      <c r="G154" s="11">
        <f>Concentrations!$G$8</f>
        <v>0</v>
      </c>
      <c r="H154" s="2" t="str">
        <f t="shared" si="9"/>
        <v>µM</v>
      </c>
      <c r="I154" s="2" cm="1">
        <f t="array" aca="1" ref="I154" ca="1">IF(MOD(COLUMN(INDIRECT(B154&amp;1)),2)=1,IF(MOD(C154,2)=1,$F$1,$F$2),IF(MOD(C154,2)=1,$H$1,$H$2))</f>
        <v>0</v>
      </c>
      <c r="J154" s="16"/>
      <c r="K154" s="5"/>
    </row>
    <row r="155" spans="1:11" x14ac:dyDescent="0.3">
      <c r="A155" s="2" t="s">
        <v>202</v>
      </c>
      <c r="B155" s="2" t="s">
        <v>196</v>
      </c>
      <c r="C155" s="2" t="s">
        <v>34</v>
      </c>
      <c r="D155" s="11">
        <f>Names!$H$8</f>
        <v>0</v>
      </c>
      <c r="E155" s="2" t="str">
        <f t="shared" si="7"/>
        <v/>
      </c>
      <c r="F155" s="11">
        <f t="shared" si="8"/>
        <v>0</v>
      </c>
      <c r="G155" s="11">
        <f>Concentrations!$H$8</f>
        <v>0</v>
      </c>
      <c r="H155" s="2" t="str">
        <f t="shared" si="9"/>
        <v>µM</v>
      </c>
      <c r="I155" s="2" cm="1">
        <f t="array" aca="1" ref="I155" ca="1">IF(MOD(COLUMN(INDIRECT(B155&amp;1)),2)=1,IF(MOD(C155,2)=1,$F$1,$F$2),IF(MOD(C155,2)=1,$H$1,$H$2))</f>
        <v>0</v>
      </c>
      <c r="J155" s="16"/>
      <c r="K155" s="5"/>
    </row>
    <row r="156" spans="1:11" x14ac:dyDescent="0.3">
      <c r="A156" s="2" t="s">
        <v>203</v>
      </c>
      <c r="B156" s="2" t="s">
        <v>196</v>
      </c>
      <c r="C156" s="2" t="s">
        <v>36</v>
      </c>
      <c r="D156" s="11">
        <f>Names!$I$8</f>
        <v>0</v>
      </c>
      <c r="E156" s="2" t="str">
        <f t="shared" si="7"/>
        <v/>
      </c>
      <c r="F156" s="11">
        <f t="shared" si="8"/>
        <v>0</v>
      </c>
      <c r="G156" s="11">
        <f>Concentrations!$I$8</f>
        <v>0</v>
      </c>
      <c r="H156" s="2" t="str">
        <f t="shared" si="9"/>
        <v>µM</v>
      </c>
      <c r="I156" s="2" cm="1">
        <f t="array" aca="1" ref="I156" ca="1">IF(MOD(COLUMN(INDIRECT(B156&amp;1)),2)=1,IF(MOD(C156,2)=1,$F$1,$F$2),IF(MOD(C156,2)=1,$H$1,$H$2))</f>
        <v>0</v>
      </c>
      <c r="J156" s="16"/>
      <c r="K156" s="5"/>
    </row>
    <row r="157" spans="1:11" x14ac:dyDescent="0.3">
      <c r="A157" s="2" t="s">
        <v>204</v>
      </c>
      <c r="B157" s="2" t="s">
        <v>196</v>
      </c>
      <c r="C157" s="2" t="s">
        <v>38</v>
      </c>
      <c r="D157" s="11">
        <f>Names!$J$8</f>
        <v>0</v>
      </c>
      <c r="E157" s="2" t="str">
        <f t="shared" si="7"/>
        <v/>
      </c>
      <c r="F157" s="11">
        <f t="shared" si="8"/>
        <v>0</v>
      </c>
      <c r="G157" s="11">
        <f>Concentrations!$J$8</f>
        <v>0</v>
      </c>
      <c r="H157" s="2" t="str">
        <f t="shared" si="9"/>
        <v>µM</v>
      </c>
      <c r="I157" s="2" cm="1">
        <f t="array" aca="1" ref="I157" ca="1">IF(MOD(COLUMN(INDIRECT(B157&amp;1)),2)=1,IF(MOD(C157,2)=1,$F$1,$F$2),IF(MOD(C157,2)=1,$H$1,$H$2))</f>
        <v>0</v>
      </c>
      <c r="J157" s="16"/>
      <c r="K157" s="5"/>
    </row>
    <row r="158" spans="1:11" x14ac:dyDescent="0.3">
      <c r="A158" s="2" t="s">
        <v>205</v>
      </c>
      <c r="B158" s="2" t="s">
        <v>196</v>
      </c>
      <c r="C158" s="2" t="s">
        <v>40</v>
      </c>
      <c r="D158" s="11">
        <f>Names!$K$8</f>
        <v>0</v>
      </c>
      <c r="E158" s="2" t="str">
        <f t="shared" si="7"/>
        <v/>
      </c>
      <c r="F158" s="11">
        <f t="shared" si="8"/>
        <v>0</v>
      </c>
      <c r="G158" s="11">
        <f>Concentrations!$K$8</f>
        <v>0</v>
      </c>
      <c r="H158" s="2" t="str">
        <f t="shared" si="9"/>
        <v>µM</v>
      </c>
      <c r="I158" s="2" cm="1">
        <f t="array" aca="1" ref="I158" ca="1">IF(MOD(COLUMN(INDIRECT(B158&amp;1)),2)=1,IF(MOD(C158,2)=1,$F$1,$F$2),IF(MOD(C158,2)=1,$H$1,$H$2))</f>
        <v>0</v>
      </c>
      <c r="J158" s="16"/>
      <c r="K158" s="5"/>
    </row>
    <row r="159" spans="1:11" x14ac:dyDescent="0.3">
      <c r="A159" s="2" t="s">
        <v>206</v>
      </c>
      <c r="B159" s="2" t="s">
        <v>196</v>
      </c>
      <c r="C159" s="2" t="s">
        <v>42</v>
      </c>
      <c r="D159" s="11">
        <f>Names!$L$8</f>
        <v>0</v>
      </c>
      <c r="E159" s="2" t="str">
        <f t="shared" si="7"/>
        <v/>
      </c>
      <c r="F159" s="11">
        <f t="shared" si="8"/>
        <v>0</v>
      </c>
      <c r="G159" s="11">
        <f>Concentrations!$L$8</f>
        <v>0</v>
      </c>
      <c r="H159" s="2" t="str">
        <f t="shared" si="9"/>
        <v>µM</v>
      </c>
      <c r="I159" s="2" cm="1">
        <f t="array" aca="1" ref="I159" ca="1">IF(MOD(COLUMN(INDIRECT(B159&amp;1)),2)=1,IF(MOD(C159,2)=1,$F$1,$F$2),IF(MOD(C159,2)=1,$H$1,$H$2))</f>
        <v>0</v>
      </c>
      <c r="J159" s="16"/>
      <c r="K159" s="5"/>
    </row>
    <row r="160" spans="1:11" x14ac:dyDescent="0.3">
      <c r="A160" s="2" t="s">
        <v>207</v>
      </c>
      <c r="B160" s="2" t="s">
        <v>196</v>
      </c>
      <c r="C160" s="2" t="s">
        <v>44</v>
      </c>
      <c r="D160" s="11">
        <f>Names!$M$8</f>
        <v>0</v>
      </c>
      <c r="E160" s="2" t="str">
        <f t="shared" si="7"/>
        <v/>
      </c>
      <c r="F160" s="11">
        <f t="shared" si="8"/>
        <v>0</v>
      </c>
      <c r="G160" s="11">
        <f>Concentrations!$M$8</f>
        <v>0</v>
      </c>
      <c r="H160" s="2" t="str">
        <f t="shared" si="9"/>
        <v>µM</v>
      </c>
      <c r="I160" s="2" cm="1">
        <f t="array" aca="1" ref="I160" ca="1">IF(MOD(COLUMN(INDIRECT(B160&amp;1)),2)=1,IF(MOD(C160,2)=1,$F$1,$F$2),IF(MOD(C160,2)=1,$H$1,$H$2))</f>
        <v>0</v>
      </c>
      <c r="J160" s="16"/>
      <c r="K160" s="5"/>
    </row>
    <row r="161" spans="1:11" x14ac:dyDescent="0.3">
      <c r="A161" s="2" t="s">
        <v>208</v>
      </c>
      <c r="B161" s="2" t="s">
        <v>196</v>
      </c>
      <c r="C161" s="2" t="s">
        <v>46</v>
      </c>
      <c r="D161" s="11">
        <f>Names!$N$8</f>
        <v>0</v>
      </c>
      <c r="E161" s="2" t="str">
        <f t="shared" si="7"/>
        <v/>
      </c>
      <c r="F161" s="11">
        <f t="shared" si="8"/>
        <v>0</v>
      </c>
      <c r="G161" s="11">
        <f>Concentrations!$N$8</f>
        <v>0</v>
      </c>
      <c r="H161" s="2" t="str">
        <f t="shared" si="9"/>
        <v>µM</v>
      </c>
      <c r="I161" s="2" cm="1">
        <f t="array" aca="1" ref="I161" ca="1">IF(MOD(COLUMN(INDIRECT(B161&amp;1)),2)=1,IF(MOD(C161,2)=1,$F$1,$F$2),IF(MOD(C161,2)=1,$H$1,$H$2))</f>
        <v>0</v>
      </c>
      <c r="J161" s="16"/>
      <c r="K161" s="5"/>
    </row>
    <row r="162" spans="1:11" x14ac:dyDescent="0.3">
      <c r="A162" s="2" t="s">
        <v>209</v>
      </c>
      <c r="B162" s="2" t="s">
        <v>196</v>
      </c>
      <c r="C162" s="2" t="s">
        <v>48</v>
      </c>
      <c r="D162" s="11">
        <f>Names!$O$8</f>
        <v>0</v>
      </c>
      <c r="E162" s="2" t="str">
        <f t="shared" si="7"/>
        <v/>
      </c>
      <c r="F162" s="11">
        <f t="shared" si="8"/>
        <v>0</v>
      </c>
      <c r="G162" s="11">
        <f>Concentrations!$O$8</f>
        <v>0</v>
      </c>
      <c r="H162" s="2" t="str">
        <f t="shared" si="9"/>
        <v>µM</v>
      </c>
      <c r="I162" s="2" cm="1">
        <f t="array" aca="1" ref="I162" ca="1">IF(MOD(COLUMN(INDIRECT(B162&amp;1)),2)=1,IF(MOD(C162,2)=1,$F$1,$F$2),IF(MOD(C162,2)=1,$H$1,$H$2))</f>
        <v>0</v>
      </c>
      <c r="J162" s="16"/>
      <c r="K162" s="5"/>
    </row>
    <row r="163" spans="1:11" x14ac:dyDescent="0.3">
      <c r="A163" s="2" t="s">
        <v>210</v>
      </c>
      <c r="B163" s="2" t="s">
        <v>196</v>
      </c>
      <c r="C163" s="2" t="s">
        <v>50</v>
      </c>
      <c r="D163" s="11">
        <f>Names!$P$8</f>
        <v>0</v>
      </c>
      <c r="E163" s="2" t="str">
        <f t="shared" si="7"/>
        <v/>
      </c>
      <c r="F163" s="11">
        <f t="shared" si="8"/>
        <v>0</v>
      </c>
      <c r="G163" s="11">
        <f>Concentrations!$P$8</f>
        <v>0</v>
      </c>
      <c r="H163" s="2" t="str">
        <f t="shared" si="9"/>
        <v>µM</v>
      </c>
      <c r="I163" s="2" cm="1">
        <f t="array" aca="1" ref="I163" ca="1">IF(MOD(COLUMN(INDIRECT(B163&amp;1)),2)=1,IF(MOD(C163,2)=1,$F$1,$F$2),IF(MOD(C163,2)=1,$H$1,$H$2))</f>
        <v>0</v>
      </c>
      <c r="J163" s="16"/>
      <c r="K163" s="5"/>
    </row>
    <row r="164" spans="1:11" x14ac:dyDescent="0.3">
      <c r="A164" s="2" t="s">
        <v>211</v>
      </c>
      <c r="B164" s="2" t="s">
        <v>196</v>
      </c>
      <c r="C164" s="2" t="s">
        <v>52</v>
      </c>
      <c r="D164" s="11">
        <f>Names!$Q$8</f>
        <v>0</v>
      </c>
      <c r="E164" s="2" t="str">
        <f t="shared" si="7"/>
        <v/>
      </c>
      <c r="F164" s="11">
        <f t="shared" si="8"/>
        <v>0</v>
      </c>
      <c r="G164" s="11">
        <f>Concentrations!$Q$8</f>
        <v>0</v>
      </c>
      <c r="H164" s="2" t="str">
        <f t="shared" si="9"/>
        <v>µM</v>
      </c>
      <c r="I164" s="2" cm="1">
        <f t="array" aca="1" ref="I164" ca="1">IF(MOD(COLUMN(INDIRECT(B164&amp;1)),2)=1,IF(MOD(C164,2)=1,$F$1,$F$2),IF(MOD(C164,2)=1,$H$1,$H$2))</f>
        <v>0</v>
      </c>
      <c r="J164" s="16"/>
      <c r="K164" s="5"/>
    </row>
    <row r="165" spans="1:11" x14ac:dyDescent="0.3">
      <c r="A165" s="2" t="s">
        <v>212</v>
      </c>
      <c r="B165" s="2" t="s">
        <v>196</v>
      </c>
      <c r="C165" s="2" t="s">
        <v>54</v>
      </c>
      <c r="D165" s="11">
        <f>Names!$R$8</f>
        <v>0</v>
      </c>
      <c r="E165" s="2" t="str">
        <f t="shared" si="7"/>
        <v/>
      </c>
      <c r="F165" s="11">
        <f t="shared" si="8"/>
        <v>0</v>
      </c>
      <c r="G165" s="11">
        <f>Concentrations!$R$8</f>
        <v>0</v>
      </c>
      <c r="H165" s="2" t="str">
        <f t="shared" si="9"/>
        <v>µM</v>
      </c>
      <c r="I165" s="2" cm="1">
        <f t="array" aca="1" ref="I165" ca="1">IF(MOD(COLUMN(INDIRECT(B165&amp;1)),2)=1,IF(MOD(C165,2)=1,$F$1,$F$2),IF(MOD(C165,2)=1,$H$1,$H$2))</f>
        <v>0</v>
      </c>
      <c r="J165" s="16"/>
      <c r="K165" s="5"/>
    </row>
    <row r="166" spans="1:11" x14ac:dyDescent="0.3">
      <c r="A166" s="2" t="s">
        <v>213</v>
      </c>
      <c r="B166" s="2" t="s">
        <v>196</v>
      </c>
      <c r="C166" s="2" t="s">
        <v>56</v>
      </c>
      <c r="D166" s="11">
        <f>Names!$S$8</f>
        <v>0</v>
      </c>
      <c r="E166" s="2" t="str">
        <f t="shared" si="7"/>
        <v/>
      </c>
      <c r="F166" s="11">
        <f t="shared" si="8"/>
        <v>0</v>
      </c>
      <c r="G166" s="11">
        <f>Concentrations!$S$8</f>
        <v>0</v>
      </c>
      <c r="H166" s="2" t="str">
        <f t="shared" si="9"/>
        <v>µM</v>
      </c>
      <c r="I166" s="2" cm="1">
        <f t="array" aca="1" ref="I166" ca="1">IF(MOD(COLUMN(INDIRECT(B166&amp;1)),2)=1,IF(MOD(C166,2)=1,$F$1,$F$2),IF(MOD(C166,2)=1,$H$1,$H$2))</f>
        <v>0</v>
      </c>
      <c r="J166" s="16"/>
      <c r="K166" s="5"/>
    </row>
    <row r="167" spans="1:11" x14ac:dyDescent="0.3">
      <c r="A167" s="2" t="s">
        <v>214</v>
      </c>
      <c r="B167" s="2" t="s">
        <v>196</v>
      </c>
      <c r="C167" s="2" t="s">
        <v>58</v>
      </c>
      <c r="D167" s="11">
        <f>Names!$T$8</f>
        <v>0</v>
      </c>
      <c r="E167" s="2" t="str">
        <f t="shared" si="7"/>
        <v/>
      </c>
      <c r="F167" s="11">
        <f t="shared" si="8"/>
        <v>0</v>
      </c>
      <c r="G167" s="11">
        <f>Concentrations!$T$8</f>
        <v>0</v>
      </c>
      <c r="H167" s="2" t="str">
        <f t="shared" si="9"/>
        <v>µM</v>
      </c>
      <c r="I167" s="2" cm="1">
        <f t="array" aca="1" ref="I167" ca="1">IF(MOD(COLUMN(INDIRECT(B167&amp;1)),2)=1,IF(MOD(C167,2)=1,$F$1,$F$2),IF(MOD(C167,2)=1,$H$1,$H$2))</f>
        <v>0</v>
      </c>
      <c r="J167" s="16"/>
      <c r="K167" s="5"/>
    </row>
    <row r="168" spans="1:11" x14ac:dyDescent="0.3">
      <c r="A168" s="2" t="s">
        <v>215</v>
      </c>
      <c r="B168" s="2" t="s">
        <v>196</v>
      </c>
      <c r="C168" s="2" t="s">
        <v>60</v>
      </c>
      <c r="D168" s="11">
        <f>Names!$U$8</f>
        <v>0</v>
      </c>
      <c r="E168" s="2" t="str">
        <f t="shared" si="7"/>
        <v/>
      </c>
      <c r="F168" s="11">
        <f t="shared" si="8"/>
        <v>0</v>
      </c>
      <c r="G168" s="11">
        <f>Concentrations!$U$8</f>
        <v>0</v>
      </c>
      <c r="H168" s="2" t="str">
        <f t="shared" si="9"/>
        <v>µM</v>
      </c>
      <c r="I168" s="2" cm="1">
        <f t="array" aca="1" ref="I168" ca="1">IF(MOD(COLUMN(INDIRECT(B168&amp;1)),2)=1,IF(MOD(C168,2)=1,$F$1,$F$2),IF(MOD(C168,2)=1,$H$1,$H$2))</f>
        <v>0</v>
      </c>
      <c r="J168" s="16"/>
      <c r="K168" s="5"/>
    </row>
    <row r="169" spans="1:11" x14ac:dyDescent="0.3">
      <c r="A169" s="2" t="s">
        <v>216</v>
      </c>
      <c r="B169" s="2" t="s">
        <v>196</v>
      </c>
      <c r="C169" s="2" t="s">
        <v>62</v>
      </c>
      <c r="D169" s="11">
        <f>Names!$V$8</f>
        <v>0</v>
      </c>
      <c r="E169" s="2" t="str">
        <f t="shared" si="7"/>
        <v/>
      </c>
      <c r="F169" s="11">
        <f t="shared" si="8"/>
        <v>0</v>
      </c>
      <c r="G169" s="11">
        <f>Concentrations!$V$8</f>
        <v>0</v>
      </c>
      <c r="H169" s="2" t="str">
        <f t="shared" si="9"/>
        <v>µM</v>
      </c>
      <c r="I169" s="2" cm="1">
        <f t="array" aca="1" ref="I169" ca="1">IF(MOD(COLUMN(INDIRECT(B169&amp;1)),2)=1,IF(MOD(C169,2)=1,$F$1,$F$2),IF(MOD(C169,2)=1,$H$1,$H$2))</f>
        <v>0</v>
      </c>
      <c r="J169" s="16"/>
      <c r="K169" s="5"/>
    </row>
    <row r="170" spans="1:11" x14ac:dyDescent="0.3">
      <c r="A170" s="2" t="s">
        <v>217</v>
      </c>
      <c r="B170" s="2" t="s">
        <v>196</v>
      </c>
      <c r="C170" s="2" t="s">
        <v>64</v>
      </c>
      <c r="D170" s="11">
        <f>Names!$W$8</f>
        <v>0</v>
      </c>
      <c r="E170" s="2" t="str">
        <f t="shared" si="7"/>
        <v/>
      </c>
      <c r="F170" s="11">
        <f t="shared" si="8"/>
        <v>0</v>
      </c>
      <c r="G170" s="11">
        <f>Concentrations!$W$8</f>
        <v>0</v>
      </c>
      <c r="H170" s="2" t="str">
        <f t="shared" si="9"/>
        <v>µM</v>
      </c>
      <c r="I170" s="2" cm="1">
        <f t="array" aca="1" ref="I170" ca="1">IF(MOD(COLUMN(INDIRECT(B170&amp;1)),2)=1,IF(MOD(C170,2)=1,$F$1,$F$2),IF(MOD(C170,2)=1,$H$1,$H$2))</f>
        <v>0</v>
      </c>
      <c r="J170" s="16"/>
      <c r="K170" s="5"/>
    </row>
    <row r="171" spans="1:11" x14ac:dyDescent="0.3">
      <c r="A171" s="2" t="s">
        <v>218</v>
      </c>
      <c r="B171" s="2" t="s">
        <v>196</v>
      </c>
      <c r="C171" s="2" t="s">
        <v>66</v>
      </c>
      <c r="D171" s="11" t="str">
        <f>Names!$X$8</f>
        <v>DMSO</v>
      </c>
      <c r="E171" s="2" t="str">
        <f t="shared" si="7"/>
        <v/>
      </c>
      <c r="F171" s="11" t="str">
        <f t="shared" si="8"/>
        <v>DMSO</v>
      </c>
      <c r="G171" s="11">
        <f>Concentrations!$X$8</f>
        <v>0</v>
      </c>
      <c r="H171" s="2" t="str">
        <f t="shared" si="9"/>
        <v>µM</v>
      </c>
      <c r="I171" s="2" cm="1">
        <f t="array" aca="1" ref="I171" ca="1">IF(MOD(COLUMN(INDIRECT(B171&amp;1)),2)=1,IF(MOD(C171,2)=1,$F$1,$F$2),IF(MOD(C171,2)=1,$H$1,$H$2))</f>
        <v>0</v>
      </c>
      <c r="J171" s="16"/>
      <c r="K171" s="5"/>
    </row>
    <row r="172" spans="1:11" x14ac:dyDescent="0.3">
      <c r="A172" s="2" t="s">
        <v>219</v>
      </c>
      <c r="B172" s="2" t="s">
        <v>196</v>
      </c>
      <c r="C172" s="2" t="s">
        <v>68</v>
      </c>
      <c r="D172" s="11" t="str">
        <f>Names!$Y$8</f>
        <v>DMSO</v>
      </c>
      <c r="E172" s="2" t="str">
        <f t="shared" si="7"/>
        <v/>
      </c>
      <c r="F172" s="11" t="str">
        <f t="shared" si="8"/>
        <v>DMSO</v>
      </c>
      <c r="G172" s="11">
        <f>Concentrations!$Y$8</f>
        <v>0</v>
      </c>
      <c r="H172" s="2" t="str">
        <f t="shared" si="9"/>
        <v>µM</v>
      </c>
      <c r="I172" s="2" cm="1">
        <f t="array" aca="1" ref="I172" ca="1">IF(MOD(COLUMN(INDIRECT(B172&amp;1)),2)=1,IF(MOD(C172,2)=1,$F$1,$F$2),IF(MOD(C172,2)=1,$H$1,$H$2))</f>
        <v>0</v>
      </c>
      <c r="J172" s="16"/>
      <c r="K172" s="5"/>
    </row>
    <row r="173" spans="1:11" x14ac:dyDescent="0.3">
      <c r="A173" s="2" t="s">
        <v>220</v>
      </c>
      <c r="B173" s="2" t="s">
        <v>221</v>
      </c>
      <c r="C173" s="2" t="s">
        <v>21</v>
      </c>
      <c r="D173" s="11" t="str">
        <f>Names!$B$9</f>
        <v>Parbendazol</v>
      </c>
      <c r="E173" s="2" t="str">
        <f t="shared" si="7"/>
        <v/>
      </c>
      <c r="F173" s="11" t="str">
        <f t="shared" si="8"/>
        <v>Parbendazol</v>
      </c>
      <c r="G173" s="11">
        <f>Concentrations!$B$9</f>
        <v>5</v>
      </c>
      <c r="H173" s="2" t="s">
        <v>122</v>
      </c>
      <c r="I173" s="2" cm="1">
        <f t="array" aca="1" ref="I173" ca="1">IF(MOD(COLUMN(INDIRECT(B173&amp;1)),2)=1,IF(MOD(C173,2)=1,$F$1,$F$2),IF(MOD(C173,2)=1,$H$1,$H$2))</f>
        <v>0</v>
      </c>
      <c r="J173" s="16"/>
      <c r="K173" s="5"/>
    </row>
    <row r="174" spans="1:11" x14ac:dyDescent="0.3">
      <c r="A174" s="2" t="s">
        <v>222</v>
      </c>
      <c r="B174" s="2" t="s">
        <v>221</v>
      </c>
      <c r="C174" s="2" t="s">
        <v>24</v>
      </c>
      <c r="D174" s="11" t="str">
        <f>Names!$C$9</f>
        <v>Emetine dihydrochloride</v>
      </c>
      <c r="E174" s="2" t="str">
        <f t="shared" si="7"/>
        <v/>
      </c>
      <c r="F174" s="11" t="str">
        <f t="shared" si="8"/>
        <v>Emetine dihydrochloride</v>
      </c>
      <c r="G174" s="11">
        <f>Concentrations!$C$9</f>
        <v>0.3</v>
      </c>
      <c r="H174" s="2" t="s">
        <v>122</v>
      </c>
      <c r="I174" s="2" cm="1">
        <f t="array" aca="1" ref="I174" ca="1">IF(MOD(COLUMN(INDIRECT(B174&amp;1)),2)=1,IF(MOD(C174,2)=1,$F$1,$F$2),IF(MOD(C174,2)=1,$H$1,$H$2))</f>
        <v>0</v>
      </c>
      <c r="J174" s="16"/>
      <c r="K174" s="5"/>
    </row>
    <row r="175" spans="1:11" x14ac:dyDescent="0.3">
      <c r="A175" s="2" t="s">
        <v>223</v>
      </c>
      <c r="B175" s="2" t="s">
        <v>221</v>
      </c>
      <c r="C175" s="2" t="s">
        <v>26</v>
      </c>
      <c r="D175" s="11">
        <f>Names!$D$9</f>
        <v>0</v>
      </c>
      <c r="E175" s="2" t="str">
        <f t="shared" si="7"/>
        <v/>
      </c>
      <c r="F175" s="11">
        <f t="shared" si="8"/>
        <v>0</v>
      </c>
      <c r="G175" s="11">
        <f>Concentrations!$D$9</f>
        <v>0</v>
      </c>
      <c r="H175" s="2" t="str">
        <f t="shared" ref="H175:H196" si="10">IF(LEFT(D175,2)="KC","%","µM")</f>
        <v>µM</v>
      </c>
      <c r="I175" s="2" cm="1">
        <f t="array" aca="1" ref="I175" ca="1">IF(MOD(COLUMN(INDIRECT(B175&amp;1)),2)=1,IF(MOD(C175,2)=1,$F$1,$F$2),IF(MOD(C175,2)=1,$H$1,$H$2))</f>
        <v>0</v>
      </c>
      <c r="J175" s="16"/>
      <c r="K175" s="5"/>
    </row>
    <row r="176" spans="1:11" x14ac:dyDescent="0.3">
      <c r="A176" s="2" t="s">
        <v>224</v>
      </c>
      <c r="B176" s="2" t="s">
        <v>221</v>
      </c>
      <c r="C176" s="2" t="s">
        <v>28</v>
      </c>
      <c r="D176" s="11">
        <f>Names!$E$9</f>
        <v>0</v>
      </c>
      <c r="E176" s="2" t="str">
        <f t="shared" si="7"/>
        <v/>
      </c>
      <c r="F176" s="11">
        <f t="shared" si="8"/>
        <v>0</v>
      </c>
      <c r="G176" s="11">
        <f>Concentrations!$E$9</f>
        <v>0</v>
      </c>
      <c r="H176" s="2" t="str">
        <f t="shared" si="10"/>
        <v>µM</v>
      </c>
      <c r="I176" s="2" cm="1">
        <f t="array" aca="1" ref="I176" ca="1">IF(MOD(COLUMN(INDIRECT(B176&amp;1)),2)=1,IF(MOD(C176,2)=1,$F$1,$F$2),IF(MOD(C176,2)=1,$H$1,$H$2))</f>
        <v>0</v>
      </c>
      <c r="J176" s="16"/>
      <c r="K176" s="5"/>
    </row>
    <row r="177" spans="1:11" x14ac:dyDescent="0.3">
      <c r="A177" s="2" t="s">
        <v>225</v>
      </c>
      <c r="B177" s="2" t="s">
        <v>221</v>
      </c>
      <c r="C177" s="2" t="s">
        <v>30</v>
      </c>
      <c r="D177" s="11">
        <f>Names!$F$9</f>
        <v>0</v>
      </c>
      <c r="E177" s="2" t="str">
        <f t="shared" si="7"/>
        <v/>
      </c>
      <c r="F177" s="11">
        <f t="shared" si="8"/>
        <v>0</v>
      </c>
      <c r="G177" s="11">
        <f>Concentrations!$F$9</f>
        <v>0</v>
      </c>
      <c r="H177" s="2" t="str">
        <f t="shared" si="10"/>
        <v>µM</v>
      </c>
      <c r="I177" s="2" cm="1">
        <f t="array" aca="1" ref="I177" ca="1">IF(MOD(COLUMN(INDIRECT(B177&amp;1)),2)=1,IF(MOD(C177,2)=1,$F$1,$F$2),IF(MOD(C177,2)=1,$H$1,$H$2))</f>
        <v>0</v>
      </c>
      <c r="J177" s="16"/>
      <c r="K177" s="5"/>
    </row>
    <row r="178" spans="1:11" x14ac:dyDescent="0.3">
      <c r="A178" s="2" t="s">
        <v>226</v>
      </c>
      <c r="B178" s="2" t="s">
        <v>221</v>
      </c>
      <c r="C178" s="2" t="s">
        <v>32</v>
      </c>
      <c r="D178" s="11">
        <f>Names!$G$9</f>
        <v>0</v>
      </c>
      <c r="E178" s="2" t="str">
        <f t="shared" si="7"/>
        <v/>
      </c>
      <c r="F178" s="11">
        <f t="shared" si="8"/>
        <v>0</v>
      </c>
      <c r="G178" s="11">
        <f>Concentrations!$G$9</f>
        <v>0</v>
      </c>
      <c r="H178" s="2" t="str">
        <f t="shared" si="10"/>
        <v>µM</v>
      </c>
      <c r="I178" s="2" cm="1">
        <f t="array" aca="1" ref="I178" ca="1">IF(MOD(COLUMN(INDIRECT(B178&amp;1)),2)=1,IF(MOD(C178,2)=1,$F$1,$F$2),IF(MOD(C178,2)=1,$H$1,$H$2))</f>
        <v>0</v>
      </c>
      <c r="J178" s="16"/>
      <c r="K178" s="5"/>
    </row>
    <row r="179" spans="1:11" x14ac:dyDescent="0.3">
      <c r="A179" s="2" t="s">
        <v>227</v>
      </c>
      <c r="B179" s="2" t="s">
        <v>221</v>
      </c>
      <c r="C179" s="2" t="s">
        <v>34</v>
      </c>
      <c r="D179" s="11">
        <f>Names!$H$9</f>
        <v>0</v>
      </c>
      <c r="E179" s="2" t="str">
        <f t="shared" si="7"/>
        <v/>
      </c>
      <c r="F179" s="11">
        <f t="shared" si="8"/>
        <v>0</v>
      </c>
      <c r="G179" s="11">
        <f>Concentrations!$H$9</f>
        <v>0</v>
      </c>
      <c r="H179" s="2" t="str">
        <f t="shared" si="10"/>
        <v>µM</v>
      </c>
      <c r="I179" s="2" cm="1">
        <f t="array" aca="1" ref="I179" ca="1">IF(MOD(COLUMN(INDIRECT(B179&amp;1)),2)=1,IF(MOD(C179,2)=1,$F$1,$F$2),IF(MOD(C179,2)=1,$H$1,$H$2))</f>
        <v>0</v>
      </c>
      <c r="J179" s="16"/>
      <c r="K179" s="5"/>
    </row>
    <row r="180" spans="1:11" x14ac:dyDescent="0.3">
      <c r="A180" s="2" t="s">
        <v>228</v>
      </c>
      <c r="B180" s="2" t="s">
        <v>221</v>
      </c>
      <c r="C180" s="2" t="s">
        <v>36</v>
      </c>
      <c r="D180" s="11">
        <f>Names!$I$9</f>
        <v>0</v>
      </c>
      <c r="E180" s="2" t="str">
        <f t="shared" si="7"/>
        <v/>
      </c>
      <c r="F180" s="11">
        <f t="shared" si="8"/>
        <v>0</v>
      </c>
      <c r="G180" s="11">
        <f>Concentrations!$I$9</f>
        <v>0</v>
      </c>
      <c r="H180" s="2" t="str">
        <f t="shared" si="10"/>
        <v>µM</v>
      </c>
      <c r="I180" s="2" cm="1">
        <f t="array" aca="1" ref="I180" ca="1">IF(MOD(COLUMN(INDIRECT(B180&amp;1)),2)=1,IF(MOD(C180,2)=1,$F$1,$F$2),IF(MOD(C180,2)=1,$H$1,$H$2))</f>
        <v>0</v>
      </c>
      <c r="J180" s="16"/>
      <c r="K180" s="5"/>
    </row>
    <row r="181" spans="1:11" x14ac:dyDescent="0.3">
      <c r="A181" s="2" t="s">
        <v>229</v>
      </c>
      <c r="B181" s="2" t="s">
        <v>221</v>
      </c>
      <c r="C181" s="2" t="s">
        <v>38</v>
      </c>
      <c r="D181" s="11">
        <f>Names!$J$9</f>
        <v>0</v>
      </c>
      <c r="E181" s="2" t="str">
        <f t="shared" si="7"/>
        <v/>
      </c>
      <c r="F181" s="11">
        <f t="shared" si="8"/>
        <v>0</v>
      </c>
      <c r="G181" s="11">
        <f>Concentrations!$J$9</f>
        <v>0</v>
      </c>
      <c r="H181" s="2" t="str">
        <f t="shared" si="10"/>
        <v>µM</v>
      </c>
      <c r="I181" s="2" cm="1">
        <f t="array" aca="1" ref="I181" ca="1">IF(MOD(COLUMN(INDIRECT(B181&amp;1)),2)=1,IF(MOD(C181,2)=1,$F$1,$F$2),IF(MOD(C181,2)=1,$H$1,$H$2))</f>
        <v>0</v>
      </c>
      <c r="J181" s="16"/>
      <c r="K181" s="5"/>
    </row>
    <row r="182" spans="1:11" x14ac:dyDescent="0.3">
      <c r="A182" s="2" t="s">
        <v>230</v>
      </c>
      <c r="B182" s="2" t="s">
        <v>221</v>
      </c>
      <c r="C182" s="2" t="s">
        <v>40</v>
      </c>
      <c r="D182" s="11">
        <f>Names!$K$9</f>
        <v>0</v>
      </c>
      <c r="E182" s="2" t="str">
        <f t="shared" si="7"/>
        <v/>
      </c>
      <c r="F182" s="11">
        <f t="shared" si="8"/>
        <v>0</v>
      </c>
      <c r="G182" s="11">
        <f>Concentrations!$K$9</f>
        <v>0</v>
      </c>
      <c r="H182" s="2" t="str">
        <f t="shared" si="10"/>
        <v>µM</v>
      </c>
      <c r="I182" s="2" cm="1">
        <f t="array" aca="1" ref="I182" ca="1">IF(MOD(COLUMN(INDIRECT(B182&amp;1)),2)=1,IF(MOD(C182,2)=1,$F$1,$F$2),IF(MOD(C182,2)=1,$H$1,$H$2))</f>
        <v>0</v>
      </c>
      <c r="J182" s="16"/>
      <c r="K182" s="5"/>
    </row>
    <row r="183" spans="1:11" x14ac:dyDescent="0.3">
      <c r="A183" s="2" t="s">
        <v>231</v>
      </c>
      <c r="B183" s="2" t="s">
        <v>221</v>
      </c>
      <c r="C183" s="2" t="s">
        <v>42</v>
      </c>
      <c r="D183" s="11">
        <f>Names!$L$9</f>
        <v>0</v>
      </c>
      <c r="E183" s="2" t="str">
        <f t="shared" si="7"/>
        <v/>
      </c>
      <c r="F183" s="11">
        <f t="shared" si="8"/>
        <v>0</v>
      </c>
      <c r="G183" s="11">
        <f>Concentrations!$L$9</f>
        <v>0</v>
      </c>
      <c r="H183" s="2" t="str">
        <f t="shared" si="10"/>
        <v>µM</v>
      </c>
      <c r="I183" s="2" cm="1">
        <f t="array" aca="1" ref="I183" ca="1">IF(MOD(COLUMN(INDIRECT(B183&amp;1)),2)=1,IF(MOD(C183,2)=1,$F$1,$F$2),IF(MOD(C183,2)=1,$H$1,$H$2))</f>
        <v>0</v>
      </c>
      <c r="J183" s="16"/>
      <c r="K183" s="5"/>
    </row>
    <row r="184" spans="1:11" x14ac:dyDescent="0.3">
      <c r="A184" s="2" t="s">
        <v>232</v>
      </c>
      <c r="B184" s="2" t="s">
        <v>221</v>
      </c>
      <c r="C184" s="2" t="s">
        <v>44</v>
      </c>
      <c r="D184" s="11">
        <f>Names!$M$9</f>
        <v>0</v>
      </c>
      <c r="E184" s="2" t="str">
        <f t="shared" si="7"/>
        <v/>
      </c>
      <c r="F184" s="11">
        <f t="shared" si="8"/>
        <v>0</v>
      </c>
      <c r="G184" s="11">
        <f>Concentrations!$M$9</f>
        <v>0</v>
      </c>
      <c r="H184" s="2" t="str">
        <f t="shared" si="10"/>
        <v>µM</v>
      </c>
      <c r="I184" s="2" cm="1">
        <f t="array" aca="1" ref="I184" ca="1">IF(MOD(COLUMN(INDIRECT(B184&amp;1)),2)=1,IF(MOD(C184,2)=1,$F$1,$F$2),IF(MOD(C184,2)=1,$H$1,$H$2))</f>
        <v>0</v>
      </c>
      <c r="J184" s="16"/>
      <c r="K184" s="5"/>
    </row>
    <row r="185" spans="1:11" x14ac:dyDescent="0.3">
      <c r="A185" s="2" t="s">
        <v>233</v>
      </c>
      <c r="B185" s="2" t="s">
        <v>221</v>
      </c>
      <c r="C185" s="2" t="s">
        <v>46</v>
      </c>
      <c r="D185" s="11">
        <f>Names!$N$9</f>
        <v>0</v>
      </c>
      <c r="E185" s="2" t="str">
        <f t="shared" si="7"/>
        <v/>
      </c>
      <c r="F185" s="11">
        <f t="shared" si="8"/>
        <v>0</v>
      </c>
      <c r="G185" s="11">
        <f>Concentrations!$N$9</f>
        <v>0</v>
      </c>
      <c r="H185" s="2" t="str">
        <f t="shared" si="10"/>
        <v>µM</v>
      </c>
      <c r="I185" s="2" cm="1">
        <f t="array" aca="1" ref="I185" ca="1">IF(MOD(COLUMN(INDIRECT(B185&amp;1)),2)=1,IF(MOD(C185,2)=1,$F$1,$F$2),IF(MOD(C185,2)=1,$H$1,$H$2))</f>
        <v>0</v>
      </c>
      <c r="J185" s="16"/>
      <c r="K185" s="5"/>
    </row>
    <row r="186" spans="1:11" x14ac:dyDescent="0.3">
      <c r="A186" s="2" t="s">
        <v>234</v>
      </c>
      <c r="B186" s="2" t="s">
        <v>221</v>
      </c>
      <c r="C186" s="2" t="s">
        <v>48</v>
      </c>
      <c r="D186" s="11">
        <f>Names!$O$9</f>
        <v>0</v>
      </c>
      <c r="E186" s="2" t="str">
        <f t="shared" si="7"/>
        <v/>
      </c>
      <c r="F186" s="11">
        <f t="shared" si="8"/>
        <v>0</v>
      </c>
      <c r="G186" s="11">
        <f>Concentrations!$O$9</f>
        <v>0</v>
      </c>
      <c r="H186" s="2" t="str">
        <f t="shared" si="10"/>
        <v>µM</v>
      </c>
      <c r="I186" s="2" cm="1">
        <f t="array" aca="1" ref="I186" ca="1">IF(MOD(COLUMN(INDIRECT(B186&amp;1)),2)=1,IF(MOD(C186,2)=1,$F$1,$F$2),IF(MOD(C186,2)=1,$H$1,$H$2))</f>
        <v>0</v>
      </c>
      <c r="J186" s="16"/>
      <c r="K186" s="5"/>
    </row>
    <row r="187" spans="1:11" x14ac:dyDescent="0.3">
      <c r="A187" s="2" t="s">
        <v>235</v>
      </c>
      <c r="B187" s="2" t="s">
        <v>221</v>
      </c>
      <c r="C187" s="2" t="s">
        <v>50</v>
      </c>
      <c r="D187" s="11">
        <f>Names!$P$9</f>
        <v>0</v>
      </c>
      <c r="E187" s="2" t="str">
        <f t="shared" si="7"/>
        <v/>
      </c>
      <c r="F187" s="11">
        <f t="shared" si="8"/>
        <v>0</v>
      </c>
      <c r="G187" s="11">
        <f>Concentrations!$P$9</f>
        <v>0</v>
      </c>
      <c r="H187" s="2" t="str">
        <f t="shared" si="10"/>
        <v>µM</v>
      </c>
      <c r="I187" s="2" cm="1">
        <f t="array" aca="1" ref="I187" ca="1">IF(MOD(COLUMN(INDIRECT(B187&amp;1)),2)=1,IF(MOD(C187,2)=1,$F$1,$F$2),IF(MOD(C187,2)=1,$H$1,$H$2))</f>
        <v>0</v>
      </c>
      <c r="J187" s="16"/>
      <c r="K187" s="5"/>
    </row>
    <row r="188" spans="1:11" x14ac:dyDescent="0.3">
      <c r="A188" s="2" t="s">
        <v>236</v>
      </c>
      <c r="B188" s="2" t="s">
        <v>221</v>
      </c>
      <c r="C188" s="2" t="s">
        <v>52</v>
      </c>
      <c r="D188" s="11">
        <f>Names!$Q$9</f>
        <v>0</v>
      </c>
      <c r="E188" s="2" t="str">
        <f t="shared" si="7"/>
        <v/>
      </c>
      <c r="F188" s="11">
        <f t="shared" si="8"/>
        <v>0</v>
      </c>
      <c r="G188" s="11">
        <f>Concentrations!$Q$9</f>
        <v>0</v>
      </c>
      <c r="H188" s="2" t="str">
        <f t="shared" si="10"/>
        <v>µM</v>
      </c>
      <c r="I188" s="2" cm="1">
        <f t="array" aca="1" ref="I188" ca="1">IF(MOD(COLUMN(INDIRECT(B188&amp;1)),2)=1,IF(MOD(C188,2)=1,$F$1,$F$2),IF(MOD(C188,2)=1,$H$1,$H$2))</f>
        <v>0</v>
      </c>
      <c r="J188" s="16"/>
      <c r="K188" s="5"/>
    </row>
    <row r="189" spans="1:11" x14ac:dyDescent="0.3">
      <c r="A189" s="2" t="s">
        <v>237</v>
      </c>
      <c r="B189" s="2" t="s">
        <v>221</v>
      </c>
      <c r="C189" s="2" t="s">
        <v>54</v>
      </c>
      <c r="D189" s="11">
        <f>Names!$R$9</f>
        <v>0</v>
      </c>
      <c r="E189" s="2" t="str">
        <f t="shared" si="7"/>
        <v/>
      </c>
      <c r="F189" s="11">
        <f t="shared" si="8"/>
        <v>0</v>
      </c>
      <c r="G189" s="11">
        <f>Concentrations!$R$9</f>
        <v>0</v>
      </c>
      <c r="H189" s="2" t="str">
        <f t="shared" si="10"/>
        <v>µM</v>
      </c>
      <c r="I189" s="2" cm="1">
        <f t="array" aca="1" ref="I189" ca="1">IF(MOD(COLUMN(INDIRECT(B189&amp;1)),2)=1,IF(MOD(C189,2)=1,$F$1,$F$2),IF(MOD(C189,2)=1,$H$1,$H$2))</f>
        <v>0</v>
      </c>
      <c r="J189" s="16"/>
      <c r="K189" s="5"/>
    </row>
    <row r="190" spans="1:11" x14ac:dyDescent="0.3">
      <c r="A190" s="2" t="s">
        <v>238</v>
      </c>
      <c r="B190" s="2" t="s">
        <v>221</v>
      </c>
      <c r="C190" s="2" t="s">
        <v>56</v>
      </c>
      <c r="D190" s="11">
        <f>Names!$S$9</f>
        <v>0</v>
      </c>
      <c r="E190" s="2" t="str">
        <f t="shared" si="7"/>
        <v/>
      </c>
      <c r="F190" s="11">
        <f t="shared" si="8"/>
        <v>0</v>
      </c>
      <c r="G190" s="11">
        <f>Concentrations!$S$9</f>
        <v>0</v>
      </c>
      <c r="H190" s="2" t="str">
        <f t="shared" si="10"/>
        <v>µM</v>
      </c>
      <c r="I190" s="2" cm="1">
        <f t="array" aca="1" ref="I190" ca="1">IF(MOD(COLUMN(INDIRECT(B190&amp;1)),2)=1,IF(MOD(C190,2)=1,$F$1,$F$2),IF(MOD(C190,2)=1,$H$1,$H$2))</f>
        <v>0</v>
      </c>
      <c r="J190" s="16"/>
      <c r="K190" s="5"/>
    </row>
    <row r="191" spans="1:11" x14ac:dyDescent="0.3">
      <c r="A191" s="2" t="s">
        <v>239</v>
      </c>
      <c r="B191" s="2" t="s">
        <v>221</v>
      </c>
      <c r="C191" s="2" t="s">
        <v>58</v>
      </c>
      <c r="D191" s="11">
        <f>Names!$T$9</f>
        <v>0</v>
      </c>
      <c r="E191" s="2" t="str">
        <f t="shared" si="7"/>
        <v/>
      </c>
      <c r="F191" s="11">
        <f t="shared" si="8"/>
        <v>0</v>
      </c>
      <c r="G191" s="11">
        <f>Concentrations!$T$9</f>
        <v>0</v>
      </c>
      <c r="H191" s="2" t="str">
        <f t="shared" si="10"/>
        <v>µM</v>
      </c>
      <c r="I191" s="2" cm="1">
        <f t="array" aca="1" ref="I191" ca="1">IF(MOD(COLUMN(INDIRECT(B191&amp;1)),2)=1,IF(MOD(C191,2)=1,$F$1,$F$2),IF(MOD(C191,2)=1,$H$1,$H$2))</f>
        <v>0</v>
      </c>
      <c r="J191" s="16"/>
      <c r="K191" s="5"/>
    </row>
    <row r="192" spans="1:11" x14ac:dyDescent="0.3">
      <c r="A192" s="2" t="s">
        <v>240</v>
      </c>
      <c r="B192" s="2" t="s">
        <v>221</v>
      </c>
      <c r="C192" s="2" t="s">
        <v>60</v>
      </c>
      <c r="D192" s="11">
        <f>Names!$U$9</f>
        <v>0</v>
      </c>
      <c r="E192" s="2" t="str">
        <f t="shared" si="7"/>
        <v/>
      </c>
      <c r="F192" s="11">
        <f t="shared" si="8"/>
        <v>0</v>
      </c>
      <c r="G192" s="11">
        <f>Concentrations!$U$9</f>
        <v>0</v>
      </c>
      <c r="H192" s="2" t="str">
        <f t="shared" si="10"/>
        <v>µM</v>
      </c>
      <c r="I192" s="2" cm="1">
        <f t="array" aca="1" ref="I192" ca="1">IF(MOD(COLUMN(INDIRECT(B192&amp;1)),2)=1,IF(MOD(C192,2)=1,$F$1,$F$2),IF(MOD(C192,2)=1,$H$1,$H$2))</f>
        <v>0</v>
      </c>
      <c r="J192" s="16"/>
      <c r="K192" s="5"/>
    </row>
    <row r="193" spans="1:11" x14ac:dyDescent="0.3">
      <c r="A193" s="2" t="s">
        <v>241</v>
      </c>
      <c r="B193" s="2" t="s">
        <v>221</v>
      </c>
      <c r="C193" s="2" t="s">
        <v>62</v>
      </c>
      <c r="D193" s="11">
        <f>Names!$V$9</f>
        <v>0</v>
      </c>
      <c r="E193" s="2" t="str">
        <f t="shared" si="7"/>
        <v/>
      </c>
      <c r="F193" s="11">
        <f t="shared" si="8"/>
        <v>0</v>
      </c>
      <c r="G193" s="11">
        <f>Concentrations!$V$9</f>
        <v>0</v>
      </c>
      <c r="H193" s="2" t="str">
        <f t="shared" si="10"/>
        <v>µM</v>
      </c>
      <c r="I193" s="2" cm="1">
        <f t="array" aca="1" ref="I193" ca="1">IF(MOD(COLUMN(INDIRECT(B193&amp;1)),2)=1,IF(MOD(C193,2)=1,$F$1,$F$2),IF(MOD(C193,2)=1,$H$1,$H$2))</f>
        <v>0</v>
      </c>
      <c r="J193" s="16"/>
      <c r="K193" s="5"/>
    </row>
    <row r="194" spans="1:11" x14ac:dyDescent="0.3">
      <c r="A194" s="2" t="s">
        <v>242</v>
      </c>
      <c r="B194" s="2" t="s">
        <v>221</v>
      </c>
      <c r="C194" s="2" t="s">
        <v>64</v>
      </c>
      <c r="D194" s="11">
        <f>Names!$W$9</f>
        <v>0</v>
      </c>
      <c r="E194" s="2" t="str">
        <f t="shared" si="7"/>
        <v/>
      </c>
      <c r="F194" s="11">
        <f t="shared" si="8"/>
        <v>0</v>
      </c>
      <c r="G194" s="11">
        <f>Concentrations!$W$9</f>
        <v>0</v>
      </c>
      <c r="H194" s="2" t="str">
        <f t="shared" si="10"/>
        <v>µM</v>
      </c>
      <c r="I194" s="2" cm="1">
        <f t="array" aca="1" ref="I194" ca="1">IF(MOD(COLUMN(INDIRECT(B194&amp;1)),2)=1,IF(MOD(C194,2)=1,$F$1,$F$2),IF(MOD(C194,2)=1,$H$1,$H$2))</f>
        <v>0</v>
      </c>
      <c r="J194" s="16"/>
      <c r="K194" s="5"/>
    </row>
    <row r="195" spans="1:11" x14ac:dyDescent="0.3">
      <c r="A195" s="2" t="s">
        <v>243</v>
      </c>
      <c r="B195" s="2" t="s">
        <v>221</v>
      </c>
      <c r="C195" s="2" t="s">
        <v>66</v>
      </c>
      <c r="D195" s="11" t="str">
        <f>Names!$X$9</f>
        <v>DMSO</v>
      </c>
      <c r="E195" s="2" t="str">
        <f t="shared" si="7"/>
        <v/>
      </c>
      <c r="F195" s="11" t="str">
        <f t="shared" si="8"/>
        <v>DMSO</v>
      </c>
      <c r="G195" s="11">
        <f>Concentrations!$X$9</f>
        <v>0</v>
      </c>
      <c r="H195" s="2" t="str">
        <f t="shared" si="10"/>
        <v>µM</v>
      </c>
      <c r="I195" s="2" cm="1">
        <f t="array" aca="1" ref="I195" ca="1">IF(MOD(COLUMN(INDIRECT(B195&amp;1)),2)=1,IF(MOD(C195,2)=1,$F$1,$F$2),IF(MOD(C195,2)=1,$H$1,$H$2))</f>
        <v>0</v>
      </c>
      <c r="J195" s="16"/>
      <c r="K195" s="5"/>
    </row>
    <row r="196" spans="1:11" x14ac:dyDescent="0.3">
      <c r="A196" s="2" t="s">
        <v>244</v>
      </c>
      <c r="B196" s="2" t="s">
        <v>221</v>
      </c>
      <c r="C196" s="2" t="s">
        <v>68</v>
      </c>
      <c r="D196" s="11" t="str">
        <f>Names!$Y$9</f>
        <v>DMSO</v>
      </c>
      <c r="E196" s="2" t="str">
        <f t="shared" si="7"/>
        <v/>
      </c>
      <c r="F196" s="11" t="str">
        <f t="shared" si="8"/>
        <v>DMSO</v>
      </c>
      <c r="G196" s="11">
        <f>Concentrations!$Y$9</f>
        <v>0</v>
      </c>
      <c r="H196" s="2" t="str">
        <f t="shared" si="10"/>
        <v>µM</v>
      </c>
      <c r="I196" s="2" cm="1">
        <f t="array" aca="1" ref="I196" ca="1">IF(MOD(COLUMN(INDIRECT(B196&amp;1)),2)=1,IF(MOD(C196,2)=1,$F$1,$F$2),IF(MOD(C196,2)=1,$H$1,$H$2))</f>
        <v>0</v>
      </c>
      <c r="J196" s="16"/>
      <c r="K196" s="5"/>
    </row>
    <row r="197" spans="1:11" x14ac:dyDescent="0.3">
      <c r="A197" s="2" t="s">
        <v>245</v>
      </c>
      <c r="B197" s="2" t="s">
        <v>246</v>
      </c>
      <c r="C197" s="2" t="s">
        <v>21</v>
      </c>
      <c r="D197" s="11" t="str">
        <f>Names!$B$10</f>
        <v>DMSO</v>
      </c>
      <c r="E197" s="2" t="str">
        <f t="shared" ref="E197:E260" si="11">IF(LEFT(D197,2)="KC",IF(_xlfn.CEILING.MATH(C197/2)-2&lt;1,"",_xlfn.CEILING.MATH(C197/2)-2),"")</f>
        <v/>
      </c>
      <c r="F197" s="11" t="str">
        <f t="shared" ref="F197:F260" si="12">IF(E197="",D197,_xlfn.CONCAT(D197,"_",E197))</f>
        <v>DMSO</v>
      </c>
      <c r="G197" s="11">
        <f>Concentrations!$B$10</f>
        <v>0</v>
      </c>
      <c r="H197" s="2" t="s">
        <v>22</v>
      </c>
      <c r="I197" s="2" cm="1">
        <f t="array" aca="1" ref="I197" ca="1">IF(MOD(COLUMN(INDIRECT(B197&amp;1)),2)=1,IF(MOD(C197,2)=1,$F$1,$F$2),IF(MOD(C197,2)=1,$H$1,$H$2))</f>
        <v>0</v>
      </c>
      <c r="J197" s="16"/>
      <c r="K197" s="5"/>
    </row>
    <row r="198" spans="1:11" x14ac:dyDescent="0.3">
      <c r="A198" s="2" t="s">
        <v>247</v>
      </c>
      <c r="B198" s="2" t="s">
        <v>246</v>
      </c>
      <c r="C198" s="2" t="s">
        <v>24</v>
      </c>
      <c r="D198" s="11" t="str">
        <f>Names!$C$10</f>
        <v>DMSO</v>
      </c>
      <c r="E198" s="2" t="str">
        <f t="shared" si="11"/>
        <v/>
      </c>
      <c r="F198" s="11" t="str">
        <f t="shared" si="12"/>
        <v>DMSO</v>
      </c>
      <c r="G198" s="11">
        <f>Concentrations!$C$10</f>
        <v>0</v>
      </c>
      <c r="H198" s="2" t="s">
        <v>122</v>
      </c>
      <c r="I198" s="2" cm="1">
        <f t="array" aca="1" ref="I198" ca="1">IF(MOD(COLUMN(INDIRECT(B198&amp;1)),2)=1,IF(MOD(C198,2)=1,$F$1,$F$2),IF(MOD(C198,2)=1,$H$1,$H$2))</f>
        <v>0</v>
      </c>
      <c r="J198" s="16"/>
      <c r="K198" s="5"/>
    </row>
    <row r="199" spans="1:11" x14ac:dyDescent="0.3">
      <c r="A199" s="2" t="s">
        <v>248</v>
      </c>
      <c r="B199" s="2" t="s">
        <v>246</v>
      </c>
      <c r="C199" s="2" t="s">
        <v>26</v>
      </c>
      <c r="D199" s="11">
        <f>Names!$D$10</f>
        <v>0</v>
      </c>
      <c r="E199" s="2" t="str">
        <f t="shared" si="11"/>
        <v/>
      </c>
      <c r="F199" s="11">
        <f t="shared" si="12"/>
        <v>0</v>
      </c>
      <c r="G199" s="11">
        <f>Concentrations!$D$10</f>
        <v>0</v>
      </c>
      <c r="H199" s="2" t="str">
        <f t="shared" ref="H199:H220" si="13">IF(LEFT(D199,2)="KC","%","µM")</f>
        <v>µM</v>
      </c>
      <c r="I199" s="2" cm="1">
        <f t="array" aca="1" ref="I199" ca="1">IF(MOD(COLUMN(INDIRECT(B199&amp;1)),2)=1,IF(MOD(C199,2)=1,$F$1,$F$2),IF(MOD(C199,2)=1,$H$1,$H$2))</f>
        <v>0</v>
      </c>
      <c r="J199" s="16"/>
      <c r="K199" s="5"/>
    </row>
    <row r="200" spans="1:11" x14ac:dyDescent="0.3">
      <c r="A200" s="2" t="s">
        <v>249</v>
      </c>
      <c r="B200" s="2" t="s">
        <v>246</v>
      </c>
      <c r="C200" s="2" t="s">
        <v>28</v>
      </c>
      <c r="D200" s="11">
        <f>Names!$E$10</f>
        <v>0</v>
      </c>
      <c r="E200" s="2" t="str">
        <f t="shared" si="11"/>
        <v/>
      </c>
      <c r="F200" s="11">
        <f t="shared" si="12"/>
        <v>0</v>
      </c>
      <c r="G200" s="11">
        <f>Concentrations!$E$10</f>
        <v>0</v>
      </c>
      <c r="H200" s="2" t="str">
        <f t="shared" si="13"/>
        <v>µM</v>
      </c>
      <c r="I200" s="2" cm="1">
        <f t="array" aca="1" ref="I200" ca="1">IF(MOD(COLUMN(INDIRECT(B200&amp;1)),2)=1,IF(MOD(C200,2)=1,$F$1,$F$2),IF(MOD(C200,2)=1,$H$1,$H$2))</f>
        <v>0</v>
      </c>
      <c r="J200" s="16"/>
      <c r="K200" s="5"/>
    </row>
    <row r="201" spans="1:11" x14ac:dyDescent="0.3">
      <c r="A201" s="2" t="s">
        <v>250</v>
      </c>
      <c r="B201" s="2" t="s">
        <v>246</v>
      </c>
      <c r="C201" s="2" t="s">
        <v>30</v>
      </c>
      <c r="D201" s="11">
        <f>Names!$F$10</f>
        <v>0</v>
      </c>
      <c r="E201" s="2" t="str">
        <f t="shared" si="11"/>
        <v/>
      </c>
      <c r="F201" s="11">
        <f t="shared" si="12"/>
        <v>0</v>
      </c>
      <c r="G201" s="11">
        <f>Concentrations!$F$10</f>
        <v>0</v>
      </c>
      <c r="H201" s="2" t="str">
        <f t="shared" si="13"/>
        <v>µM</v>
      </c>
      <c r="I201" s="2" cm="1">
        <f t="array" aca="1" ref="I201" ca="1">IF(MOD(COLUMN(INDIRECT(B201&amp;1)),2)=1,IF(MOD(C201,2)=1,$F$1,$F$2),IF(MOD(C201,2)=1,$H$1,$H$2))</f>
        <v>0</v>
      </c>
      <c r="J201" s="16"/>
      <c r="K201" s="5"/>
    </row>
    <row r="202" spans="1:11" x14ac:dyDescent="0.3">
      <c r="A202" s="2" t="s">
        <v>251</v>
      </c>
      <c r="B202" s="2" t="s">
        <v>246</v>
      </c>
      <c r="C202" s="2" t="s">
        <v>32</v>
      </c>
      <c r="D202" s="11">
        <f>Names!$G$10</f>
        <v>0</v>
      </c>
      <c r="E202" s="2" t="str">
        <f t="shared" si="11"/>
        <v/>
      </c>
      <c r="F202" s="11">
        <f t="shared" si="12"/>
        <v>0</v>
      </c>
      <c r="G202" s="11">
        <f>Concentrations!$G$10</f>
        <v>0</v>
      </c>
      <c r="H202" s="2" t="str">
        <f t="shared" si="13"/>
        <v>µM</v>
      </c>
      <c r="I202" s="2" cm="1">
        <f t="array" aca="1" ref="I202" ca="1">IF(MOD(COLUMN(INDIRECT(B202&amp;1)),2)=1,IF(MOD(C202,2)=1,$F$1,$F$2),IF(MOD(C202,2)=1,$H$1,$H$2))</f>
        <v>0</v>
      </c>
      <c r="J202" s="16"/>
      <c r="K202" s="5"/>
    </row>
    <row r="203" spans="1:11" x14ac:dyDescent="0.3">
      <c r="A203" s="2" t="s">
        <v>252</v>
      </c>
      <c r="B203" s="2" t="s">
        <v>246</v>
      </c>
      <c r="C203" s="2" t="s">
        <v>34</v>
      </c>
      <c r="D203" s="11">
        <f>Names!$H$10</f>
        <v>0</v>
      </c>
      <c r="E203" s="2" t="str">
        <f t="shared" si="11"/>
        <v/>
      </c>
      <c r="F203" s="11">
        <f t="shared" si="12"/>
        <v>0</v>
      </c>
      <c r="G203" s="11">
        <f>Concentrations!$H$10</f>
        <v>0</v>
      </c>
      <c r="H203" s="2" t="str">
        <f t="shared" si="13"/>
        <v>µM</v>
      </c>
      <c r="I203" s="2" cm="1">
        <f t="array" aca="1" ref="I203" ca="1">IF(MOD(COLUMN(INDIRECT(B203&amp;1)),2)=1,IF(MOD(C203,2)=1,$F$1,$F$2),IF(MOD(C203,2)=1,$H$1,$H$2))</f>
        <v>0</v>
      </c>
      <c r="J203" s="16"/>
      <c r="K203" s="5"/>
    </row>
    <row r="204" spans="1:11" x14ac:dyDescent="0.3">
      <c r="A204" s="2" t="s">
        <v>253</v>
      </c>
      <c r="B204" s="2" t="s">
        <v>246</v>
      </c>
      <c r="C204" s="2" t="s">
        <v>36</v>
      </c>
      <c r="D204" s="11">
        <f>Names!$I$10</f>
        <v>0</v>
      </c>
      <c r="E204" s="2" t="str">
        <f t="shared" si="11"/>
        <v/>
      </c>
      <c r="F204" s="11">
        <f t="shared" si="12"/>
        <v>0</v>
      </c>
      <c r="G204" s="11">
        <f>Concentrations!$I$10</f>
        <v>0</v>
      </c>
      <c r="H204" s="2" t="str">
        <f t="shared" si="13"/>
        <v>µM</v>
      </c>
      <c r="I204" s="2" cm="1">
        <f t="array" aca="1" ref="I204" ca="1">IF(MOD(COLUMN(INDIRECT(B204&amp;1)),2)=1,IF(MOD(C204,2)=1,$F$1,$F$2),IF(MOD(C204,2)=1,$H$1,$H$2))</f>
        <v>0</v>
      </c>
      <c r="J204" s="16"/>
      <c r="K204" s="5"/>
    </row>
    <row r="205" spans="1:11" x14ac:dyDescent="0.3">
      <c r="A205" s="2" t="s">
        <v>254</v>
      </c>
      <c r="B205" s="2" t="s">
        <v>246</v>
      </c>
      <c r="C205" s="2" t="s">
        <v>38</v>
      </c>
      <c r="D205" s="11">
        <f>Names!$J$10</f>
        <v>0</v>
      </c>
      <c r="E205" s="2" t="str">
        <f t="shared" si="11"/>
        <v/>
      </c>
      <c r="F205" s="11">
        <f t="shared" si="12"/>
        <v>0</v>
      </c>
      <c r="G205" s="11">
        <f>Concentrations!$J$10</f>
        <v>0</v>
      </c>
      <c r="H205" s="2" t="str">
        <f t="shared" si="13"/>
        <v>µM</v>
      </c>
      <c r="I205" s="2" cm="1">
        <f t="array" aca="1" ref="I205" ca="1">IF(MOD(COLUMN(INDIRECT(B205&amp;1)),2)=1,IF(MOD(C205,2)=1,$F$1,$F$2),IF(MOD(C205,2)=1,$H$1,$H$2))</f>
        <v>0</v>
      </c>
      <c r="J205" s="16"/>
      <c r="K205" s="5"/>
    </row>
    <row r="206" spans="1:11" x14ac:dyDescent="0.3">
      <c r="A206" s="2" t="s">
        <v>255</v>
      </c>
      <c r="B206" s="2" t="s">
        <v>246</v>
      </c>
      <c r="C206" s="2" t="s">
        <v>40</v>
      </c>
      <c r="D206" s="11">
        <f>Names!$K$10</f>
        <v>0</v>
      </c>
      <c r="E206" s="2" t="str">
        <f t="shared" si="11"/>
        <v/>
      </c>
      <c r="F206" s="11">
        <f t="shared" si="12"/>
        <v>0</v>
      </c>
      <c r="G206" s="11">
        <f>Concentrations!$K$10</f>
        <v>0</v>
      </c>
      <c r="H206" s="2" t="str">
        <f t="shared" si="13"/>
        <v>µM</v>
      </c>
      <c r="I206" s="2" cm="1">
        <f t="array" aca="1" ref="I206" ca="1">IF(MOD(COLUMN(INDIRECT(B206&amp;1)),2)=1,IF(MOD(C206,2)=1,$F$1,$F$2),IF(MOD(C206,2)=1,$H$1,$H$2))</f>
        <v>0</v>
      </c>
      <c r="J206" s="16"/>
      <c r="K206" s="5"/>
    </row>
    <row r="207" spans="1:11" x14ac:dyDescent="0.3">
      <c r="A207" s="2" t="s">
        <v>256</v>
      </c>
      <c r="B207" s="2" t="s">
        <v>246</v>
      </c>
      <c r="C207" s="2" t="s">
        <v>42</v>
      </c>
      <c r="D207" s="11">
        <f>Names!$L$10</f>
        <v>0</v>
      </c>
      <c r="E207" s="2" t="str">
        <f t="shared" si="11"/>
        <v/>
      </c>
      <c r="F207" s="11">
        <f t="shared" si="12"/>
        <v>0</v>
      </c>
      <c r="G207" s="11">
        <f>Concentrations!$L$10</f>
        <v>0</v>
      </c>
      <c r="H207" s="2" t="str">
        <f t="shared" si="13"/>
        <v>µM</v>
      </c>
      <c r="I207" s="2" cm="1">
        <f t="array" aca="1" ref="I207" ca="1">IF(MOD(COLUMN(INDIRECT(B207&amp;1)),2)=1,IF(MOD(C207,2)=1,$F$1,$F$2),IF(MOD(C207,2)=1,$H$1,$H$2))</f>
        <v>0</v>
      </c>
      <c r="J207" s="16"/>
      <c r="K207" s="5"/>
    </row>
    <row r="208" spans="1:11" x14ac:dyDescent="0.3">
      <c r="A208" s="2" t="s">
        <v>257</v>
      </c>
      <c r="B208" s="2" t="s">
        <v>246</v>
      </c>
      <c r="C208" s="2" t="s">
        <v>44</v>
      </c>
      <c r="D208" s="11">
        <f>Names!$M$10</f>
        <v>0</v>
      </c>
      <c r="E208" s="2" t="str">
        <f t="shared" si="11"/>
        <v/>
      </c>
      <c r="F208" s="11">
        <f t="shared" si="12"/>
        <v>0</v>
      </c>
      <c r="G208" s="11">
        <f>Concentrations!$M$10</f>
        <v>0</v>
      </c>
      <c r="H208" s="2" t="str">
        <f t="shared" si="13"/>
        <v>µM</v>
      </c>
      <c r="I208" s="2" cm="1">
        <f t="array" aca="1" ref="I208" ca="1">IF(MOD(COLUMN(INDIRECT(B208&amp;1)),2)=1,IF(MOD(C208,2)=1,$F$1,$F$2),IF(MOD(C208,2)=1,$H$1,$H$2))</f>
        <v>0</v>
      </c>
      <c r="J208" s="16"/>
      <c r="K208" s="5"/>
    </row>
    <row r="209" spans="1:11" x14ac:dyDescent="0.3">
      <c r="A209" s="2" t="s">
        <v>258</v>
      </c>
      <c r="B209" s="2" t="s">
        <v>246</v>
      </c>
      <c r="C209" s="2" t="s">
        <v>46</v>
      </c>
      <c r="D209" s="11">
        <f>Names!$N$10</f>
        <v>0</v>
      </c>
      <c r="E209" s="2" t="str">
        <f t="shared" si="11"/>
        <v/>
      </c>
      <c r="F209" s="11">
        <f t="shared" si="12"/>
        <v>0</v>
      </c>
      <c r="G209" s="11">
        <f>Concentrations!$N$10</f>
        <v>0</v>
      </c>
      <c r="H209" s="2" t="str">
        <f t="shared" si="13"/>
        <v>µM</v>
      </c>
      <c r="I209" s="2" cm="1">
        <f t="array" aca="1" ref="I209" ca="1">IF(MOD(COLUMN(INDIRECT(B209&amp;1)),2)=1,IF(MOD(C209,2)=1,$F$1,$F$2),IF(MOD(C209,2)=1,$H$1,$H$2))</f>
        <v>0</v>
      </c>
      <c r="J209" s="16"/>
      <c r="K209" s="5"/>
    </row>
    <row r="210" spans="1:11" x14ac:dyDescent="0.3">
      <c r="A210" s="2" t="s">
        <v>259</v>
      </c>
      <c r="B210" s="2" t="s">
        <v>246</v>
      </c>
      <c r="C210" s="2" t="s">
        <v>48</v>
      </c>
      <c r="D210" s="11">
        <f>Names!$O$10</f>
        <v>0</v>
      </c>
      <c r="E210" s="2" t="str">
        <f t="shared" si="11"/>
        <v/>
      </c>
      <c r="F210" s="11">
        <f t="shared" si="12"/>
        <v>0</v>
      </c>
      <c r="G210" s="11">
        <f>Concentrations!$O$10</f>
        <v>0</v>
      </c>
      <c r="H210" s="2" t="str">
        <f t="shared" si="13"/>
        <v>µM</v>
      </c>
      <c r="I210" s="2" cm="1">
        <f t="array" aca="1" ref="I210" ca="1">IF(MOD(COLUMN(INDIRECT(B210&amp;1)),2)=1,IF(MOD(C210,2)=1,$F$1,$F$2),IF(MOD(C210,2)=1,$H$1,$H$2))</f>
        <v>0</v>
      </c>
      <c r="J210" s="16"/>
      <c r="K210" s="5"/>
    </row>
    <row r="211" spans="1:11" x14ac:dyDescent="0.3">
      <c r="A211" s="2" t="s">
        <v>260</v>
      </c>
      <c r="B211" s="2" t="s">
        <v>246</v>
      </c>
      <c r="C211" s="2" t="s">
        <v>50</v>
      </c>
      <c r="D211" s="11">
        <f>Names!$P$10</f>
        <v>0</v>
      </c>
      <c r="E211" s="2" t="str">
        <f t="shared" si="11"/>
        <v/>
      </c>
      <c r="F211" s="11">
        <f t="shared" si="12"/>
        <v>0</v>
      </c>
      <c r="G211" s="11">
        <f>Concentrations!$P$10</f>
        <v>0</v>
      </c>
      <c r="H211" s="2" t="str">
        <f t="shared" si="13"/>
        <v>µM</v>
      </c>
      <c r="I211" s="2" cm="1">
        <f t="array" aca="1" ref="I211" ca="1">IF(MOD(COLUMN(INDIRECT(B211&amp;1)),2)=1,IF(MOD(C211,2)=1,$F$1,$F$2),IF(MOD(C211,2)=1,$H$1,$H$2))</f>
        <v>0</v>
      </c>
      <c r="J211" s="16"/>
      <c r="K211" s="5"/>
    </row>
    <row r="212" spans="1:11" x14ac:dyDescent="0.3">
      <c r="A212" s="2" t="s">
        <v>261</v>
      </c>
      <c r="B212" s="2" t="s">
        <v>246</v>
      </c>
      <c r="C212" s="2" t="s">
        <v>52</v>
      </c>
      <c r="D212" s="11">
        <f>Names!$Q$10</f>
        <v>0</v>
      </c>
      <c r="E212" s="2" t="str">
        <f t="shared" si="11"/>
        <v/>
      </c>
      <c r="F212" s="11">
        <f t="shared" si="12"/>
        <v>0</v>
      </c>
      <c r="G212" s="11">
        <f>Concentrations!$Q$10</f>
        <v>0</v>
      </c>
      <c r="H212" s="2" t="str">
        <f t="shared" si="13"/>
        <v>µM</v>
      </c>
      <c r="I212" s="2" cm="1">
        <f t="array" aca="1" ref="I212" ca="1">IF(MOD(COLUMN(INDIRECT(B212&amp;1)),2)=1,IF(MOD(C212,2)=1,$F$1,$F$2),IF(MOD(C212,2)=1,$H$1,$H$2))</f>
        <v>0</v>
      </c>
      <c r="J212" s="16"/>
      <c r="K212" s="5"/>
    </row>
    <row r="213" spans="1:11" x14ac:dyDescent="0.3">
      <c r="A213" s="2" t="s">
        <v>262</v>
      </c>
      <c r="B213" s="2" t="s">
        <v>246</v>
      </c>
      <c r="C213" s="2" t="s">
        <v>54</v>
      </c>
      <c r="D213" s="11">
        <f>Names!$R$10</f>
        <v>0</v>
      </c>
      <c r="E213" s="2" t="str">
        <f t="shared" si="11"/>
        <v/>
      </c>
      <c r="F213" s="11">
        <f t="shared" si="12"/>
        <v>0</v>
      </c>
      <c r="G213" s="11">
        <f>Concentrations!$R$10</f>
        <v>0</v>
      </c>
      <c r="H213" s="2" t="str">
        <f t="shared" si="13"/>
        <v>µM</v>
      </c>
      <c r="I213" s="2" cm="1">
        <f t="array" aca="1" ref="I213" ca="1">IF(MOD(COLUMN(INDIRECT(B213&amp;1)),2)=1,IF(MOD(C213,2)=1,$F$1,$F$2),IF(MOD(C213,2)=1,$H$1,$H$2))</f>
        <v>0</v>
      </c>
      <c r="J213" s="16"/>
      <c r="K213" s="5"/>
    </row>
    <row r="214" spans="1:11" x14ac:dyDescent="0.3">
      <c r="A214" s="2" t="s">
        <v>263</v>
      </c>
      <c r="B214" s="2" t="s">
        <v>246</v>
      </c>
      <c r="C214" s="2" t="s">
        <v>56</v>
      </c>
      <c r="D214" s="11">
        <f>Names!$S$10</f>
        <v>0</v>
      </c>
      <c r="E214" s="2" t="str">
        <f t="shared" si="11"/>
        <v/>
      </c>
      <c r="F214" s="11">
        <f t="shared" si="12"/>
        <v>0</v>
      </c>
      <c r="G214" s="11">
        <f>Concentrations!$S$10</f>
        <v>0</v>
      </c>
      <c r="H214" s="2" t="str">
        <f t="shared" si="13"/>
        <v>µM</v>
      </c>
      <c r="I214" s="2" cm="1">
        <f t="array" aca="1" ref="I214" ca="1">IF(MOD(COLUMN(INDIRECT(B214&amp;1)),2)=1,IF(MOD(C214,2)=1,$F$1,$F$2),IF(MOD(C214,2)=1,$H$1,$H$2))</f>
        <v>0</v>
      </c>
      <c r="J214" s="16"/>
      <c r="K214" s="5"/>
    </row>
    <row r="215" spans="1:11" x14ac:dyDescent="0.3">
      <c r="A215" s="2" t="s">
        <v>264</v>
      </c>
      <c r="B215" s="2" t="s">
        <v>246</v>
      </c>
      <c r="C215" s="2" t="s">
        <v>58</v>
      </c>
      <c r="D215" s="11">
        <f>Names!$T$10</f>
        <v>0</v>
      </c>
      <c r="E215" s="2" t="str">
        <f t="shared" si="11"/>
        <v/>
      </c>
      <c r="F215" s="11">
        <f t="shared" si="12"/>
        <v>0</v>
      </c>
      <c r="G215" s="11">
        <f>Concentrations!$T$10</f>
        <v>0</v>
      </c>
      <c r="H215" s="2" t="str">
        <f t="shared" si="13"/>
        <v>µM</v>
      </c>
      <c r="I215" s="2" cm="1">
        <f t="array" aca="1" ref="I215" ca="1">IF(MOD(COLUMN(INDIRECT(B215&amp;1)),2)=1,IF(MOD(C215,2)=1,$F$1,$F$2),IF(MOD(C215,2)=1,$H$1,$H$2))</f>
        <v>0</v>
      </c>
      <c r="J215" s="16"/>
      <c r="K215" s="5"/>
    </row>
    <row r="216" spans="1:11" x14ac:dyDescent="0.3">
      <c r="A216" s="2" t="s">
        <v>265</v>
      </c>
      <c r="B216" s="2" t="s">
        <v>246</v>
      </c>
      <c r="C216" s="2" t="s">
        <v>60</v>
      </c>
      <c r="D216" s="11">
        <f>Names!$U$10</f>
        <v>0</v>
      </c>
      <c r="E216" s="2" t="str">
        <f t="shared" si="11"/>
        <v/>
      </c>
      <c r="F216" s="11">
        <f t="shared" si="12"/>
        <v>0</v>
      </c>
      <c r="G216" s="11">
        <f>Concentrations!$U$10</f>
        <v>0</v>
      </c>
      <c r="H216" s="2" t="str">
        <f t="shared" si="13"/>
        <v>µM</v>
      </c>
      <c r="I216" s="2" cm="1">
        <f t="array" aca="1" ref="I216" ca="1">IF(MOD(COLUMN(INDIRECT(B216&amp;1)),2)=1,IF(MOD(C216,2)=1,$F$1,$F$2),IF(MOD(C216,2)=1,$H$1,$H$2))</f>
        <v>0</v>
      </c>
      <c r="J216" s="16"/>
      <c r="K216" s="5"/>
    </row>
    <row r="217" spans="1:11" x14ac:dyDescent="0.3">
      <c r="A217" s="2" t="s">
        <v>266</v>
      </c>
      <c r="B217" s="2" t="s">
        <v>246</v>
      </c>
      <c r="C217" s="2" t="s">
        <v>62</v>
      </c>
      <c r="D217" s="11">
        <f>Names!$V$10</f>
        <v>0</v>
      </c>
      <c r="E217" s="2" t="str">
        <f t="shared" si="11"/>
        <v/>
      </c>
      <c r="F217" s="11">
        <f t="shared" si="12"/>
        <v>0</v>
      </c>
      <c r="G217" s="11">
        <f>Concentrations!$V$10</f>
        <v>0</v>
      </c>
      <c r="H217" s="2" t="str">
        <f t="shared" si="13"/>
        <v>µM</v>
      </c>
      <c r="I217" s="2" cm="1">
        <f t="array" aca="1" ref="I217" ca="1">IF(MOD(COLUMN(INDIRECT(B217&amp;1)),2)=1,IF(MOD(C217,2)=1,$F$1,$F$2),IF(MOD(C217,2)=1,$H$1,$H$2))</f>
        <v>0</v>
      </c>
      <c r="J217" s="16"/>
      <c r="K217" s="5"/>
    </row>
    <row r="218" spans="1:11" x14ac:dyDescent="0.3">
      <c r="A218" s="2" t="s">
        <v>267</v>
      </c>
      <c r="B218" s="2" t="s">
        <v>246</v>
      </c>
      <c r="C218" s="2" t="s">
        <v>64</v>
      </c>
      <c r="D218" s="11">
        <f>Names!$W$10</f>
        <v>0</v>
      </c>
      <c r="E218" s="2" t="str">
        <f t="shared" si="11"/>
        <v/>
      </c>
      <c r="F218" s="11">
        <f t="shared" si="12"/>
        <v>0</v>
      </c>
      <c r="G218" s="11">
        <f>Concentrations!$W$10</f>
        <v>0</v>
      </c>
      <c r="H218" s="2" t="str">
        <f t="shared" si="13"/>
        <v>µM</v>
      </c>
      <c r="I218" s="2" cm="1">
        <f t="array" aca="1" ref="I218" ca="1">IF(MOD(COLUMN(INDIRECT(B218&amp;1)),2)=1,IF(MOD(C218,2)=1,$F$1,$F$2),IF(MOD(C218,2)=1,$H$1,$H$2))</f>
        <v>0</v>
      </c>
      <c r="J218" s="16"/>
      <c r="K218" s="5"/>
    </row>
    <row r="219" spans="1:11" x14ac:dyDescent="0.3">
      <c r="A219" s="2" t="s">
        <v>268</v>
      </c>
      <c r="B219" s="2" t="s">
        <v>246</v>
      </c>
      <c r="C219" s="2" t="s">
        <v>66</v>
      </c>
      <c r="D219" s="11" t="str">
        <f>Names!$X$10</f>
        <v>DMSO</v>
      </c>
      <c r="E219" s="2" t="str">
        <f t="shared" si="11"/>
        <v/>
      </c>
      <c r="F219" s="11" t="str">
        <f t="shared" si="12"/>
        <v>DMSO</v>
      </c>
      <c r="G219" s="11">
        <f>Concentrations!$X$10</f>
        <v>0</v>
      </c>
      <c r="H219" s="2" t="str">
        <f t="shared" si="13"/>
        <v>µM</v>
      </c>
      <c r="I219" s="2" cm="1">
        <f t="array" aca="1" ref="I219" ca="1">IF(MOD(COLUMN(INDIRECT(B219&amp;1)),2)=1,IF(MOD(C219,2)=1,$F$1,$F$2),IF(MOD(C219,2)=1,$H$1,$H$2))</f>
        <v>0</v>
      </c>
      <c r="J219" s="16"/>
      <c r="K219" s="5"/>
    </row>
    <row r="220" spans="1:11" x14ac:dyDescent="0.3">
      <c r="A220" s="2" t="s">
        <v>269</v>
      </c>
      <c r="B220" s="2" t="s">
        <v>246</v>
      </c>
      <c r="C220" s="2" t="s">
        <v>68</v>
      </c>
      <c r="D220" s="11" t="str">
        <f>Names!$Y$10</f>
        <v>DMSO</v>
      </c>
      <c r="E220" s="2" t="str">
        <f t="shared" si="11"/>
        <v/>
      </c>
      <c r="F220" s="11" t="str">
        <f t="shared" si="12"/>
        <v>DMSO</v>
      </c>
      <c r="G220" s="11">
        <f>Concentrations!$Y$10</f>
        <v>0</v>
      </c>
      <c r="H220" s="2" t="str">
        <f t="shared" si="13"/>
        <v>µM</v>
      </c>
      <c r="I220" s="2" cm="1">
        <f t="array" aca="1" ref="I220" ca="1">IF(MOD(COLUMN(INDIRECT(B220&amp;1)),2)=1,IF(MOD(C220,2)=1,$F$1,$F$2),IF(MOD(C220,2)=1,$H$1,$H$2))</f>
        <v>0</v>
      </c>
      <c r="J220" s="16"/>
      <c r="K220" s="5"/>
    </row>
    <row r="221" spans="1:11" x14ac:dyDescent="0.3">
      <c r="A221" s="2" t="s">
        <v>270</v>
      </c>
      <c r="B221" s="2" t="s">
        <v>271</v>
      </c>
      <c r="C221" s="2" t="s">
        <v>21</v>
      </c>
      <c r="D221" s="11" t="str">
        <f>Names!$B$11</f>
        <v>Fenbendazole</v>
      </c>
      <c r="E221" s="2" t="str">
        <f t="shared" si="11"/>
        <v/>
      </c>
      <c r="F221" s="11" t="str">
        <f t="shared" si="12"/>
        <v>Fenbendazole</v>
      </c>
      <c r="G221" s="11">
        <f>Concentrations!$B$11</f>
        <v>5</v>
      </c>
      <c r="H221" s="2" t="s">
        <v>122</v>
      </c>
      <c r="I221" s="2" cm="1">
        <f t="array" aca="1" ref="I221" ca="1">IF(MOD(COLUMN(INDIRECT(B221&amp;1)),2)=1,IF(MOD(C221,2)=1,$F$1,$F$2),IF(MOD(C221,2)=1,$H$1,$H$2))</f>
        <v>0</v>
      </c>
      <c r="J221" s="16"/>
      <c r="K221" s="5"/>
    </row>
    <row r="222" spans="1:11" x14ac:dyDescent="0.3">
      <c r="A222" s="2" t="s">
        <v>272</v>
      </c>
      <c r="B222" s="2" t="s">
        <v>271</v>
      </c>
      <c r="C222" s="2" t="s">
        <v>24</v>
      </c>
      <c r="D222" s="11" t="str">
        <f>Names!$C$11</f>
        <v>Repaglinide</v>
      </c>
      <c r="E222" s="2" t="str">
        <f t="shared" si="11"/>
        <v/>
      </c>
      <c r="F222" s="11" t="str">
        <f t="shared" si="12"/>
        <v>Repaglinide</v>
      </c>
      <c r="G222" s="11">
        <f>Concentrations!$C$11</f>
        <v>0.3</v>
      </c>
      <c r="H222" s="2" t="s">
        <v>122</v>
      </c>
      <c r="I222" s="2" cm="1">
        <f t="array" aca="1" ref="I222" ca="1">IF(MOD(COLUMN(INDIRECT(B222&amp;1)),2)=1,IF(MOD(C222,2)=1,$F$1,$F$2),IF(MOD(C222,2)=1,$H$1,$H$2))</f>
        <v>0</v>
      </c>
      <c r="J222" s="16"/>
      <c r="K222" s="5"/>
    </row>
    <row r="223" spans="1:11" x14ac:dyDescent="0.3">
      <c r="A223" s="2" t="s">
        <v>273</v>
      </c>
      <c r="B223" s="2" t="s">
        <v>271</v>
      </c>
      <c r="C223" s="2" t="s">
        <v>26</v>
      </c>
      <c r="D223" s="11">
        <f>Names!$D$11</f>
        <v>0</v>
      </c>
      <c r="E223" s="2" t="str">
        <f t="shared" si="11"/>
        <v/>
      </c>
      <c r="F223" s="11">
        <f t="shared" si="12"/>
        <v>0</v>
      </c>
      <c r="G223" s="11">
        <f>Concentrations!$D$11</f>
        <v>0</v>
      </c>
      <c r="H223" s="2" t="str">
        <f t="shared" ref="H223:H244" si="14">IF(LEFT(D223,2)="KC","%","µM")</f>
        <v>µM</v>
      </c>
      <c r="I223" s="2" cm="1">
        <f t="array" aca="1" ref="I223" ca="1">IF(MOD(COLUMN(INDIRECT(B223&amp;1)),2)=1,IF(MOD(C223,2)=1,$F$1,$F$2),IF(MOD(C223,2)=1,$H$1,$H$2))</f>
        <v>0</v>
      </c>
      <c r="J223" s="16"/>
      <c r="K223" s="5"/>
    </row>
    <row r="224" spans="1:11" x14ac:dyDescent="0.3">
      <c r="A224" s="2" t="s">
        <v>274</v>
      </c>
      <c r="B224" s="2" t="s">
        <v>271</v>
      </c>
      <c r="C224" s="2" t="s">
        <v>28</v>
      </c>
      <c r="D224" s="11">
        <f>Names!$E$11</f>
        <v>0</v>
      </c>
      <c r="E224" s="2" t="str">
        <f t="shared" si="11"/>
        <v/>
      </c>
      <c r="F224" s="11">
        <f t="shared" si="12"/>
        <v>0</v>
      </c>
      <c r="G224" s="11">
        <f>Concentrations!$E$11</f>
        <v>0</v>
      </c>
      <c r="H224" s="2" t="str">
        <f t="shared" si="14"/>
        <v>µM</v>
      </c>
      <c r="I224" s="2" cm="1">
        <f t="array" aca="1" ref="I224" ca="1">IF(MOD(COLUMN(INDIRECT(B224&amp;1)),2)=1,IF(MOD(C224,2)=1,$F$1,$F$2),IF(MOD(C224,2)=1,$H$1,$H$2))</f>
        <v>0</v>
      </c>
      <c r="J224" s="16"/>
      <c r="K224" s="5"/>
    </row>
    <row r="225" spans="1:11" x14ac:dyDescent="0.3">
      <c r="A225" s="2" t="s">
        <v>275</v>
      </c>
      <c r="B225" s="2" t="s">
        <v>271</v>
      </c>
      <c r="C225" s="2" t="s">
        <v>30</v>
      </c>
      <c r="D225" s="11">
        <f>Names!$F$11</f>
        <v>0</v>
      </c>
      <c r="E225" s="2" t="str">
        <f t="shared" si="11"/>
        <v/>
      </c>
      <c r="F225" s="11">
        <f t="shared" si="12"/>
        <v>0</v>
      </c>
      <c r="G225" s="11">
        <f>Concentrations!$F$11</f>
        <v>0</v>
      </c>
      <c r="H225" s="2" t="str">
        <f t="shared" si="14"/>
        <v>µM</v>
      </c>
      <c r="I225" s="2" cm="1">
        <f t="array" aca="1" ref="I225" ca="1">IF(MOD(COLUMN(INDIRECT(B225&amp;1)),2)=1,IF(MOD(C225,2)=1,$F$1,$F$2),IF(MOD(C225,2)=1,$H$1,$H$2))</f>
        <v>0</v>
      </c>
      <c r="J225" s="16"/>
      <c r="K225" s="5"/>
    </row>
    <row r="226" spans="1:11" x14ac:dyDescent="0.3">
      <c r="A226" s="2" t="s">
        <v>276</v>
      </c>
      <c r="B226" s="2" t="s">
        <v>271</v>
      </c>
      <c r="C226" s="2" t="s">
        <v>32</v>
      </c>
      <c r="D226" s="11">
        <f>Names!$G$11</f>
        <v>0</v>
      </c>
      <c r="E226" s="2" t="str">
        <f t="shared" si="11"/>
        <v/>
      </c>
      <c r="F226" s="11">
        <f t="shared" si="12"/>
        <v>0</v>
      </c>
      <c r="G226" s="11">
        <f>Concentrations!$G$11</f>
        <v>0</v>
      </c>
      <c r="H226" s="2" t="str">
        <f t="shared" si="14"/>
        <v>µM</v>
      </c>
      <c r="I226" s="2" cm="1">
        <f t="array" aca="1" ref="I226" ca="1">IF(MOD(COLUMN(INDIRECT(B226&amp;1)),2)=1,IF(MOD(C226,2)=1,$F$1,$F$2),IF(MOD(C226,2)=1,$H$1,$H$2))</f>
        <v>0</v>
      </c>
      <c r="J226" s="16"/>
      <c r="K226" s="5"/>
    </row>
    <row r="227" spans="1:11" x14ac:dyDescent="0.3">
      <c r="A227" s="2" t="s">
        <v>277</v>
      </c>
      <c r="B227" s="2" t="s">
        <v>271</v>
      </c>
      <c r="C227" s="2" t="s">
        <v>34</v>
      </c>
      <c r="D227" s="11">
        <f>Names!$H$11</f>
        <v>0</v>
      </c>
      <c r="E227" s="2" t="str">
        <f t="shared" si="11"/>
        <v/>
      </c>
      <c r="F227" s="11">
        <f t="shared" si="12"/>
        <v>0</v>
      </c>
      <c r="G227" s="11">
        <f>Concentrations!$H$11</f>
        <v>0</v>
      </c>
      <c r="H227" s="2" t="str">
        <f t="shared" si="14"/>
        <v>µM</v>
      </c>
      <c r="I227" s="2" cm="1">
        <f t="array" aca="1" ref="I227" ca="1">IF(MOD(COLUMN(INDIRECT(B227&amp;1)),2)=1,IF(MOD(C227,2)=1,$F$1,$F$2),IF(MOD(C227,2)=1,$H$1,$H$2))</f>
        <v>0</v>
      </c>
      <c r="J227" s="16"/>
      <c r="K227" s="5"/>
    </row>
    <row r="228" spans="1:11" x14ac:dyDescent="0.3">
      <c r="A228" s="2" t="s">
        <v>278</v>
      </c>
      <c r="B228" s="2" t="s">
        <v>271</v>
      </c>
      <c r="C228" s="2" t="s">
        <v>36</v>
      </c>
      <c r="D228" s="11">
        <f>Names!$I$11</f>
        <v>0</v>
      </c>
      <c r="E228" s="2" t="str">
        <f t="shared" si="11"/>
        <v/>
      </c>
      <c r="F228" s="11">
        <f t="shared" si="12"/>
        <v>0</v>
      </c>
      <c r="G228" s="11">
        <f>Concentrations!$I$11</f>
        <v>0</v>
      </c>
      <c r="H228" s="2" t="str">
        <f t="shared" si="14"/>
        <v>µM</v>
      </c>
      <c r="I228" s="2" cm="1">
        <f t="array" aca="1" ref="I228" ca="1">IF(MOD(COLUMN(INDIRECT(B228&amp;1)),2)=1,IF(MOD(C228,2)=1,$F$1,$F$2),IF(MOD(C228,2)=1,$H$1,$H$2))</f>
        <v>0</v>
      </c>
      <c r="J228" s="16"/>
      <c r="K228" s="5"/>
    </row>
    <row r="229" spans="1:11" x14ac:dyDescent="0.3">
      <c r="A229" s="2" t="s">
        <v>279</v>
      </c>
      <c r="B229" s="2" t="s">
        <v>271</v>
      </c>
      <c r="C229" s="2" t="s">
        <v>38</v>
      </c>
      <c r="D229" s="11">
        <f>Names!$J$11</f>
        <v>0</v>
      </c>
      <c r="E229" s="2" t="str">
        <f t="shared" si="11"/>
        <v/>
      </c>
      <c r="F229" s="11">
        <f t="shared" si="12"/>
        <v>0</v>
      </c>
      <c r="G229" s="11">
        <f>Concentrations!$J$11</f>
        <v>0</v>
      </c>
      <c r="H229" s="2" t="str">
        <f t="shared" si="14"/>
        <v>µM</v>
      </c>
      <c r="I229" s="2" cm="1">
        <f t="array" aca="1" ref="I229" ca="1">IF(MOD(COLUMN(INDIRECT(B229&amp;1)),2)=1,IF(MOD(C229,2)=1,$F$1,$F$2),IF(MOD(C229,2)=1,$H$1,$H$2))</f>
        <v>0</v>
      </c>
      <c r="J229" s="16"/>
      <c r="K229" s="5"/>
    </row>
    <row r="230" spans="1:11" x14ac:dyDescent="0.3">
      <c r="A230" s="2" t="s">
        <v>280</v>
      </c>
      <c r="B230" s="2" t="s">
        <v>271</v>
      </c>
      <c r="C230" s="2" t="s">
        <v>40</v>
      </c>
      <c r="D230" s="11">
        <f>Names!$K$11</f>
        <v>0</v>
      </c>
      <c r="E230" s="2" t="str">
        <f t="shared" si="11"/>
        <v/>
      </c>
      <c r="F230" s="11">
        <f t="shared" si="12"/>
        <v>0</v>
      </c>
      <c r="G230" s="11">
        <f>Concentrations!$K$11</f>
        <v>0</v>
      </c>
      <c r="H230" s="2" t="str">
        <f t="shared" si="14"/>
        <v>µM</v>
      </c>
      <c r="I230" s="2" cm="1">
        <f t="array" aca="1" ref="I230" ca="1">IF(MOD(COLUMN(INDIRECT(B230&amp;1)),2)=1,IF(MOD(C230,2)=1,$F$1,$F$2),IF(MOD(C230,2)=1,$H$1,$H$2))</f>
        <v>0</v>
      </c>
      <c r="J230" s="16"/>
      <c r="K230" s="5"/>
    </row>
    <row r="231" spans="1:11" x14ac:dyDescent="0.3">
      <c r="A231" s="2" t="s">
        <v>281</v>
      </c>
      <c r="B231" s="2" t="s">
        <v>271</v>
      </c>
      <c r="C231" s="2" t="s">
        <v>42</v>
      </c>
      <c r="D231" s="11">
        <f>Names!$L$11</f>
        <v>0</v>
      </c>
      <c r="E231" s="2" t="str">
        <f t="shared" si="11"/>
        <v/>
      </c>
      <c r="F231" s="11">
        <f t="shared" si="12"/>
        <v>0</v>
      </c>
      <c r="G231" s="11">
        <f>Concentrations!$L$11</f>
        <v>0</v>
      </c>
      <c r="H231" s="2" t="str">
        <f t="shared" si="14"/>
        <v>µM</v>
      </c>
      <c r="I231" s="2" cm="1">
        <f t="array" aca="1" ref="I231" ca="1">IF(MOD(COLUMN(INDIRECT(B231&amp;1)),2)=1,IF(MOD(C231,2)=1,$F$1,$F$2),IF(MOD(C231,2)=1,$H$1,$H$2))</f>
        <v>0</v>
      </c>
      <c r="J231" s="16"/>
      <c r="K231" s="5"/>
    </row>
    <row r="232" spans="1:11" x14ac:dyDescent="0.3">
      <c r="A232" s="2" t="s">
        <v>282</v>
      </c>
      <c r="B232" s="2" t="s">
        <v>271</v>
      </c>
      <c r="C232" s="2" t="s">
        <v>44</v>
      </c>
      <c r="D232" s="11">
        <f>Names!$M$11</f>
        <v>0</v>
      </c>
      <c r="E232" s="2" t="str">
        <f t="shared" si="11"/>
        <v/>
      </c>
      <c r="F232" s="11">
        <f t="shared" si="12"/>
        <v>0</v>
      </c>
      <c r="G232" s="11">
        <f>Concentrations!$M$11</f>
        <v>0</v>
      </c>
      <c r="H232" s="2" t="str">
        <f t="shared" si="14"/>
        <v>µM</v>
      </c>
      <c r="I232" s="2" cm="1">
        <f t="array" aca="1" ref="I232" ca="1">IF(MOD(COLUMN(INDIRECT(B232&amp;1)),2)=1,IF(MOD(C232,2)=1,$F$1,$F$2),IF(MOD(C232,2)=1,$H$1,$H$2))</f>
        <v>0</v>
      </c>
      <c r="J232" s="16"/>
      <c r="K232" s="5"/>
    </row>
    <row r="233" spans="1:11" x14ac:dyDescent="0.3">
      <c r="A233" s="2" t="s">
        <v>283</v>
      </c>
      <c r="B233" s="2" t="s">
        <v>271</v>
      </c>
      <c r="C233" s="2" t="s">
        <v>46</v>
      </c>
      <c r="D233" s="11">
        <f>Names!$N$11</f>
        <v>0</v>
      </c>
      <c r="E233" s="2" t="str">
        <f t="shared" si="11"/>
        <v/>
      </c>
      <c r="F233" s="11">
        <f t="shared" si="12"/>
        <v>0</v>
      </c>
      <c r="G233" s="11">
        <f>Concentrations!$N$11</f>
        <v>0</v>
      </c>
      <c r="H233" s="2" t="str">
        <f t="shared" si="14"/>
        <v>µM</v>
      </c>
      <c r="I233" s="2" cm="1">
        <f t="array" aca="1" ref="I233" ca="1">IF(MOD(COLUMN(INDIRECT(B233&amp;1)),2)=1,IF(MOD(C233,2)=1,$F$1,$F$2),IF(MOD(C233,2)=1,$H$1,$H$2))</f>
        <v>0</v>
      </c>
      <c r="J233" s="16"/>
      <c r="K233" s="5"/>
    </row>
    <row r="234" spans="1:11" x14ac:dyDescent="0.3">
      <c r="A234" s="2" t="s">
        <v>284</v>
      </c>
      <c r="B234" s="2" t="s">
        <v>271</v>
      </c>
      <c r="C234" s="2" t="s">
        <v>48</v>
      </c>
      <c r="D234" s="11">
        <f>Names!$O$11</f>
        <v>0</v>
      </c>
      <c r="E234" s="2" t="str">
        <f t="shared" si="11"/>
        <v/>
      </c>
      <c r="F234" s="11">
        <f t="shared" si="12"/>
        <v>0</v>
      </c>
      <c r="G234" s="11">
        <f>Concentrations!$O$11</f>
        <v>0</v>
      </c>
      <c r="H234" s="2" t="str">
        <f t="shared" si="14"/>
        <v>µM</v>
      </c>
      <c r="I234" s="2" cm="1">
        <f t="array" aca="1" ref="I234" ca="1">IF(MOD(COLUMN(INDIRECT(B234&amp;1)),2)=1,IF(MOD(C234,2)=1,$F$1,$F$2),IF(MOD(C234,2)=1,$H$1,$H$2))</f>
        <v>0</v>
      </c>
      <c r="J234" s="16"/>
      <c r="K234" s="5"/>
    </row>
    <row r="235" spans="1:11" x14ac:dyDescent="0.3">
      <c r="A235" s="2" t="s">
        <v>285</v>
      </c>
      <c r="B235" s="2" t="s">
        <v>271</v>
      </c>
      <c r="C235" s="2" t="s">
        <v>50</v>
      </c>
      <c r="D235" s="11">
        <f>Names!$P$11</f>
        <v>0</v>
      </c>
      <c r="E235" s="2" t="str">
        <f t="shared" si="11"/>
        <v/>
      </c>
      <c r="F235" s="11">
        <f t="shared" si="12"/>
        <v>0</v>
      </c>
      <c r="G235" s="11">
        <f>Concentrations!$P$11</f>
        <v>0</v>
      </c>
      <c r="H235" s="2" t="str">
        <f t="shared" si="14"/>
        <v>µM</v>
      </c>
      <c r="I235" s="2" cm="1">
        <f t="array" aca="1" ref="I235" ca="1">IF(MOD(COLUMN(INDIRECT(B235&amp;1)),2)=1,IF(MOD(C235,2)=1,$F$1,$F$2),IF(MOD(C235,2)=1,$H$1,$H$2))</f>
        <v>0</v>
      </c>
      <c r="J235" s="16"/>
      <c r="K235" s="5"/>
    </row>
    <row r="236" spans="1:11" x14ac:dyDescent="0.3">
      <c r="A236" s="2" t="s">
        <v>286</v>
      </c>
      <c r="B236" s="2" t="s">
        <v>271</v>
      </c>
      <c r="C236" s="2" t="s">
        <v>52</v>
      </c>
      <c r="D236" s="11">
        <f>Names!$Q$11</f>
        <v>0</v>
      </c>
      <c r="E236" s="2" t="str">
        <f t="shared" si="11"/>
        <v/>
      </c>
      <c r="F236" s="11">
        <f t="shared" si="12"/>
        <v>0</v>
      </c>
      <c r="G236" s="11">
        <f>Concentrations!$Q$11</f>
        <v>0</v>
      </c>
      <c r="H236" s="2" t="str">
        <f t="shared" si="14"/>
        <v>µM</v>
      </c>
      <c r="I236" s="2" cm="1">
        <f t="array" aca="1" ref="I236" ca="1">IF(MOD(COLUMN(INDIRECT(B236&amp;1)),2)=1,IF(MOD(C236,2)=1,$F$1,$F$2),IF(MOD(C236,2)=1,$H$1,$H$2))</f>
        <v>0</v>
      </c>
      <c r="J236" s="16"/>
      <c r="K236" s="5"/>
    </row>
    <row r="237" spans="1:11" x14ac:dyDescent="0.3">
      <c r="A237" s="2" t="s">
        <v>287</v>
      </c>
      <c r="B237" s="2" t="s">
        <v>271</v>
      </c>
      <c r="C237" s="2" t="s">
        <v>54</v>
      </c>
      <c r="D237" s="11">
        <f>Names!$R$11</f>
        <v>0</v>
      </c>
      <c r="E237" s="2" t="str">
        <f t="shared" si="11"/>
        <v/>
      </c>
      <c r="F237" s="11">
        <f t="shared" si="12"/>
        <v>0</v>
      </c>
      <c r="G237" s="11">
        <f>Concentrations!$R$11</f>
        <v>0</v>
      </c>
      <c r="H237" s="2" t="str">
        <f t="shared" si="14"/>
        <v>µM</v>
      </c>
      <c r="I237" s="2" cm="1">
        <f t="array" aca="1" ref="I237" ca="1">IF(MOD(COLUMN(INDIRECT(B237&amp;1)),2)=1,IF(MOD(C237,2)=1,$F$1,$F$2),IF(MOD(C237,2)=1,$H$1,$H$2))</f>
        <v>0</v>
      </c>
      <c r="J237" s="16"/>
      <c r="K237" s="5"/>
    </row>
    <row r="238" spans="1:11" x14ac:dyDescent="0.3">
      <c r="A238" s="2" t="s">
        <v>288</v>
      </c>
      <c r="B238" s="2" t="s">
        <v>271</v>
      </c>
      <c r="C238" s="2" t="s">
        <v>56</v>
      </c>
      <c r="D238" s="11">
        <f>Names!$S$11</f>
        <v>0</v>
      </c>
      <c r="E238" s="2" t="str">
        <f t="shared" si="11"/>
        <v/>
      </c>
      <c r="F238" s="11">
        <f t="shared" si="12"/>
        <v>0</v>
      </c>
      <c r="G238" s="11">
        <f>Concentrations!$S$11</f>
        <v>0</v>
      </c>
      <c r="H238" s="2" t="str">
        <f t="shared" si="14"/>
        <v>µM</v>
      </c>
      <c r="I238" s="2" cm="1">
        <f t="array" aca="1" ref="I238" ca="1">IF(MOD(COLUMN(INDIRECT(B238&amp;1)),2)=1,IF(MOD(C238,2)=1,$F$1,$F$2),IF(MOD(C238,2)=1,$H$1,$H$2))</f>
        <v>0</v>
      </c>
      <c r="J238" s="16"/>
      <c r="K238" s="5"/>
    </row>
    <row r="239" spans="1:11" x14ac:dyDescent="0.3">
      <c r="A239" s="2" t="s">
        <v>289</v>
      </c>
      <c r="B239" s="2" t="s">
        <v>271</v>
      </c>
      <c r="C239" s="2" t="s">
        <v>58</v>
      </c>
      <c r="D239" s="11">
        <f>Names!$T$11</f>
        <v>0</v>
      </c>
      <c r="E239" s="2" t="str">
        <f t="shared" si="11"/>
        <v/>
      </c>
      <c r="F239" s="11">
        <f t="shared" si="12"/>
        <v>0</v>
      </c>
      <c r="G239" s="11">
        <f>Concentrations!$T$11</f>
        <v>0</v>
      </c>
      <c r="H239" s="2" t="str">
        <f t="shared" si="14"/>
        <v>µM</v>
      </c>
      <c r="I239" s="2" cm="1">
        <f t="array" aca="1" ref="I239" ca="1">IF(MOD(COLUMN(INDIRECT(B239&amp;1)),2)=1,IF(MOD(C239,2)=1,$F$1,$F$2),IF(MOD(C239,2)=1,$H$1,$H$2))</f>
        <v>0</v>
      </c>
      <c r="J239" s="16"/>
      <c r="K239" s="5"/>
    </row>
    <row r="240" spans="1:11" x14ac:dyDescent="0.3">
      <c r="A240" s="2" t="s">
        <v>290</v>
      </c>
      <c r="B240" s="2" t="s">
        <v>271</v>
      </c>
      <c r="C240" s="2" t="s">
        <v>60</v>
      </c>
      <c r="D240" s="11">
        <f>Names!$U$11</f>
        <v>0</v>
      </c>
      <c r="E240" s="2" t="str">
        <f t="shared" si="11"/>
        <v/>
      </c>
      <c r="F240" s="11">
        <f t="shared" si="12"/>
        <v>0</v>
      </c>
      <c r="G240" s="11">
        <f>Concentrations!$U$11</f>
        <v>0</v>
      </c>
      <c r="H240" s="2" t="str">
        <f t="shared" si="14"/>
        <v>µM</v>
      </c>
      <c r="I240" s="2" cm="1">
        <f t="array" aca="1" ref="I240" ca="1">IF(MOD(COLUMN(INDIRECT(B240&amp;1)),2)=1,IF(MOD(C240,2)=1,$F$1,$F$2),IF(MOD(C240,2)=1,$H$1,$H$2))</f>
        <v>0</v>
      </c>
      <c r="J240" s="16"/>
      <c r="K240" s="5"/>
    </row>
    <row r="241" spans="1:11" x14ac:dyDescent="0.3">
      <c r="A241" s="2" t="s">
        <v>291</v>
      </c>
      <c r="B241" s="2" t="s">
        <v>271</v>
      </c>
      <c r="C241" s="2" t="s">
        <v>62</v>
      </c>
      <c r="D241" s="11">
        <f>Names!$V$11</f>
        <v>0</v>
      </c>
      <c r="E241" s="2" t="str">
        <f t="shared" si="11"/>
        <v/>
      </c>
      <c r="F241" s="11">
        <f t="shared" si="12"/>
        <v>0</v>
      </c>
      <c r="G241" s="11">
        <f>Concentrations!$V$11</f>
        <v>0</v>
      </c>
      <c r="H241" s="2" t="str">
        <f t="shared" si="14"/>
        <v>µM</v>
      </c>
      <c r="I241" s="2" cm="1">
        <f t="array" aca="1" ref="I241" ca="1">IF(MOD(COLUMN(INDIRECT(B241&amp;1)),2)=1,IF(MOD(C241,2)=1,$F$1,$F$2),IF(MOD(C241,2)=1,$H$1,$H$2))</f>
        <v>0</v>
      </c>
      <c r="J241" s="16"/>
      <c r="K241" s="5"/>
    </row>
    <row r="242" spans="1:11" x14ac:dyDescent="0.3">
      <c r="A242" s="2" t="s">
        <v>292</v>
      </c>
      <c r="B242" s="2" t="s">
        <v>271</v>
      </c>
      <c r="C242" s="2" t="s">
        <v>64</v>
      </c>
      <c r="D242" s="11">
        <f>Names!$W$11</f>
        <v>0</v>
      </c>
      <c r="E242" s="2" t="str">
        <f t="shared" si="11"/>
        <v/>
      </c>
      <c r="F242" s="11">
        <f t="shared" si="12"/>
        <v>0</v>
      </c>
      <c r="G242" s="11">
        <f>Concentrations!$W$11</f>
        <v>0</v>
      </c>
      <c r="H242" s="2" t="str">
        <f t="shared" si="14"/>
        <v>µM</v>
      </c>
      <c r="I242" s="2" cm="1">
        <f t="array" aca="1" ref="I242" ca="1">IF(MOD(COLUMN(INDIRECT(B242&amp;1)),2)=1,IF(MOD(C242,2)=1,$F$1,$F$2),IF(MOD(C242,2)=1,$H$1,$H$2))</f>
        <v>0</v>
      </c>
      <c r="J242" s="16"/>
      <c r="K242" s="5"/>
    </row>
    <row r="243" spans="1:11" x14ac:dyDescent="0.3">
      <c r="A243" s="2" t="s">
        <v>293</v>
      </c>
      <c r="B243" s="2" t="s">
        <v>271</v>
      </c>
      <c r="C243" s="2" t="s">
        <v>66</v>
      </c>
      <c r="D243" s="11" t="str">
        <f>Names!$X$11</f>
        <v>DMSO</v>
      </c>
      <c r="E243" s="2" t="str">
        <f t="shared" si="11"/>
        <v/>
      </c>
      <c r="F243" s="11" t="str">
        <f t="shared" si="12"/>
        <v>DMSO</v>
      </c>
      <c r="G243" s="11">
        <f>Concentrations!$X$11</f>
        <v>0</v>
      </c>
      <c r="H243" s="2" t="str">
        <f t="shared" si="14"/>
        <v>µM</v>
      </c>
      <c r="I243" s="2" cm="1">
        <f t="array" aca="1" ref="I243" ca="1">IF(MOD(COLUMN(INDIRECT(B243&amp;1)),2)=1,IF(MOD(C243,2)=1,$F$1,$F$2),IF(MOD(C243,2)=1,$H$1,$H$2))</f>
        <v>0</v>
      </c>
      <c r="J243" s="16"/>
      <c r="K243" s="5"/>
    </row>
    <row r="244" spans="1:11" x14ac:dyDescent="0.3">
      <c r="A244" s="2" t="s">
        <v>294</v>
      </c>
      <c r="B244" s="2" t="s">
        <v>271</v>
      </c>
      <c r="C244" s="2" t="s">
        <v>68</v>
      </c>
      <c r="D244" s="11" t="str">
        <f>Names!$Y$11</f>
        <v>DMSO</v>
      </c>
      <c r="E244" s="2" t="str">
        <f t="shared" si="11"/>
        <v/>
      </c>
      <c r="F244" s="11" t="str">
        <f t="shared" si="12"/>
        <v>DMSO</v>
      </c>
      <c r="G244" s="11">
        <f>Concentrations!$Y$11</f>
        <v>0</v>
      </c>
      <c r="H244" s="2" t="str">
        <f t="shared" si="14"/>
        <v>µM</v>
      </c>
      <c r="I244" s="2" cm="1">
        <f t="array" aca="1" ref="I244" ca="1">IF(MOD(COLUMN(INDIRECT(B244&amp;1)),2)=1,IF(MOD(C244,2)=1,$F$1,$F$2),IF(MOD(C244,2)=1,$H$1,$H$2))</f>
        <v>0</v>
      </c>
      <c r="J244" s="16"/>
      <c r="K244" s="5"/>
    </row>
    <row r="245" spans="1:11" x14ac:dyDescent="0.3">
      <c r="A245" s="2" t="s">
        <v>295</v>
      </c>
      <c r="B245" s="2" t="s">
        <v>296</v>
      </c>
      <c r="C245" s="2" t="s">
        <v>21</v>
      </c>
      <c r="D245" s="11" t="str">
        <f>Names!$B$12</f>
        <v>DMSO</v>
      </c>
      <c r="E245" s="2" t="str">
        <f t="shared" si="11"/>
        <v/>
      </c>
      <c r="F245" s="11" t="str">
        <f t="shared" si="12"/>
        <v>DMSO</v>
      </c>
      <c r="G245" s="11">
        <f>Concentrations!$B$12</f>
        <v>0</v>
      </c>
      <c r="H245" s="2" t="s">
        <v>22</v>
      </c>
      <c r="I245" s="2" cm="1">
        <f t="array" aca="1" ref="I245" ca="1">IF(MOD(COLUMN(INDIRECT(B245&amp;1)),2)=1,IF(MOD(C245,2)=1,$F$1,$F$2),IF(MOD(C245,2)=1,$H$1,$H$2))</f>
        <v>0</v>
      </c>
      <c r="J245" s="16"/>
      <c r="K245" s="5"/>
    </row>
    <row r="246" spans="1:11" x14ac:dyDescent="0.3">
      <c r="A246" s="2" t="s">
        <v>297</v>
      </c>
      <c r="B246" s="2" t="s">
        <v>296</v>
      </c>
      <c r="C246" s="2" t="s">
        <v>24</v>
      </c>
      <c r="D246" s="11" t="str">
        <f>Names!$C$12</f>
        <v>DMSO</v>
      </c>
      <c r="E246" s="2" t="str">
        <f t="shared" si="11"/>
        <v/>
      </c>
      <c r="F246" s="11" t="str">
        <f t="shared" si="12"/>
        <v>DMSO</v>
      </c>
      <c r="G246" s="11">
        <f>Concentrations!$C$12</f>
        <v>0</v>
      </c>
      <c r="H246" s="2" t="s">
        <v>122</v>
      </c>
      <c r="I246" s="2" cm="1">
        <f t="array" aca="1" ref="I246" ca="1">IF(MOD(COLUMN(INDIRECT(B246&amp;1)),2)=1,IF(MOD(C246,2)=1,$F$1,$F$2),IF(MOD(C246,2)=1,$H$1,$H$2))</f>
        <v>0</v>
      </c>
      <c r="J246" s="16"/>
      <c r="K246" s="5"/>
    </row>
    <row r="247" spans="1:11" x14ac:dyDescent="0.3">
      <c r="A247" s="2" t="s">
        <v>298</v>
      </c>
      <c r="B247" s="2" t="s">
        <v>296</v>
      </c>
      <c r="C247" s="2" t="s">
        <v>26</v>
      </c>
      <c r="D247" s="11">
        <f>Names!$D$12</f>
        <v>0</v>
      </c>
      <c r="E247" s="2" t="str">
        <f t="shared" si="11"/>
        <v/>
      </c>
      <c r="F247" s="11">
        <f t="shared" si="12"/>
        <v>0</v>
      </c>
      <c r="G247" s="11">
        <f>Concentrations!$D$12</f>
        <v>0</v>
      </c>
      <c r="H247" s="2" t="str">
        <f t="shared" ref="H247:H268" si="15">IF(LEFT(D247,2)="KC","%","µM")</f>
        <v>µM</v>
      </c>
      <c r="I247" s="2" cm="1">
        <f t="array" aca="1" ref="I247" ca="1">IF(MOD(COLUMN(INDIRECT(B247&amp;1)),2)=1,IF(MOD(C247,2)=1,$F$1,$F$2),IF(MOD(C247,2)=1,$H$1,$H$2))</f>
        <v>0</v>
      </c>
      <c r="J247" s="16"/>
      <c r="K247" s="5"/>
    </row>
    <row r="248" spans="1:11" x14ac:dyDescent="0.3">
      <c r="A248" s="2" t="s">
        <v>299</v>
      </c>
      <c r="B248" s="2" t="s">
        <v>296</v>
      </c>
      <c r="C248" s="2" t="s">
        <v>28</v>
      </c>
      <c r="D248" s="11">
        <f>Names!$E$12</f>
        <v>0</v>
      </c>
      <c r="E248" s="2" t="str">
        <f t="shared" si="11"/>
        <v/>
      </c>
      <c r="F248" s="11">
        <f t="shared" si="12"/>
        <v>0</v>
      </c>
      <c r="G248" s="11">
        <f>Concentrations!$E$12</f>
        <v>0</v>
      </c>
      <c r="H248" s="2" t="str">
        <f t="shared" si="15"/>
        <v>µM</v>
      </c>
      <c r="I248" s="2" cm="1">
        <f t="array" aca="1" ref="I248" ca="1">IF(MOD(COLUMN(INDIRECT(B248&amp;1)),2)=1,IF(MOD(C248,2)=1,$F$1,$F$2),IF(MOD(C248,2)=1,$H$1,$H$2))</f>
        <v>0</v>
      </c>
      <c r="J248" s="16"/>
      <c r="K248" s="5"/>
    </row>
    <row r="249" spans="1:11" x14ac:dyDescent="0.3">
      <c r="A249" s="2" t="s">
        <v>300</v>
      </c>
      <c r="B249" s="2" t="s">
        <v>296</v>
      </c>
      <c r="C249" s="2" t="s">
        <v>30</v>
      </c>
      <c r="D249" s="11">
        <f>Names!$F$12</f>
        <v>0</v>
      </c>
      <c r="E249" s="2" t="str">
        <f t="shared" si="11"/>
        <v/>
      </c>
      <c r="F249" s="11">
        <f t="shared" si="12"/>
        <v>0</v>
      </c>
      <c r="G249" s="11">
        <f>Concentrations!$F$12</f>
        <v>0</v>
      </c>
      <c r="H249" s="2" t="str">
        <f t="shared" si="15"/>
        <v>µM</v>
      </c>
      <c r="I249" s="2" cm="1">
        <f t="array" aca="1" ref="I249" ca="1">IF(MOD(COLUMN(INDIRECT(B249&amp;1)),2)=1,IF(MOD(C249,2)=1,$F$1,$F$2),IF(MOD(C249,2)=1,$H$1,$H$2))</f>
        <v>0</v>
      </c>
      <c r="J249" s="16"/>
      <c r="K249" s="5"/>
    </row>
    <row r="250" spans="1:11" x14ac:dyDescent="0.3">
      <c r="A250" s="2" t="s">
        <v>301</v>
      </c>
      <c r="B250" s="2" t="s">
        <v>296</v>
      </c>
      <c r="C250" s="2" t="s">
        <v>32</v>
      </c>
      <c r="D250" s="11">
        <f>Names!$G$12</f>
        <v>0</v>
      </c>
      <c r="E250" s="2" t="str">
        <f t="shared" si="11"/>
        <v/>
      </c>
      <c r="F250" s="11">
        <f t="shared" si="12"/>
        <v>0</v>
      </c>
      <c r="G250" s="11">
        <f>Concentrations!$G$12</f>
        <v>0</v>
      </c>
      <c r="H250" s="2" t="str">
        <f t="shared" si="15"/>
        <v>µM</v>
      </c>
      <c r="I250" s="2" cm="1">
        <f t="array" aca="1" ref="I250" ca="1">IF(MOD(COLUMN(INDIRECT(B250&amp;1)),2)=1,IF(MOD(C250,2)=1,$F$1,$F$2),IF(MOD(C250,2)=1,$H$1,$H$2))</f>
        <v>0</v>
      </c>
      <c r="J250" s="16"/>
      <c r="K250" s="5"/>
    </row>
    <row r="251" spans="1:11" x14ac:dyDescent="0.3">
      <c r="A251" s="2" t="s">
        <v>302</v>
      </c>
      <c r="B251" s="2" t="s">
        <v>296</v>
      </c>
      <c r="C251" s="2" t="s">
        <v>34</v>
      </c>
      <c r="D251" s="11">
        <f>Names!$H$12</f>
        <v>0</v>
      </c>
      <c r="E251" s="2" t="str">
        <f t="shared" si="11"/>
        <v/>
      </c>
      <c r="F251" s="11">
        <f t="shared" si="12"/>
        <v>0</v>
      </c>
      <c r="G251" s="11">
        <f>Concentrations!$H$12</f>
        <v>0</v>
      </c>
      <c r="H251" s="2" t="str">
        <f t="shared" si="15"/>
        <v>µM</v>
      </c>
      <c r="I251" s="2" cm="1">
        <f t="array" aca="1" ref="I251" ca="1">IF(MOD(COLUMN(INDIRECT(B251&amp;1)),2)=1,IF(MOD(C251,2)=1,$F$1,$F$2),IF(MOD(C251,2)=1,$H$1,$H$2))</f>
        <v>0</v>
      </c>
      <c r="J251" s="16"/>
      <c r="K251" s="5"/>
    </row>
    <row r="252" spans="1:11" x14ac:dyDescent="0.3">
      <c r="A252" s="2" t="s">
        <v>303</v>
      </c>
      <c r="B252" s="2" t="s">
        <v>296</v>
      </c>
      <c r="C252" s="2" t="s">
        <v>36</v>
      </c>
      <c r="D252" s="11">
        <f>Names!$I$12</f>
        <v>0</v>
      </c>
      <c r="E252" s="2" t="str">
        <f t="shared" si="11"/>
        <v/>
      </c>
      <c r="F252" s="11">
        <f t="shared" si="12"/>
        <v>0</v>
      </c>
      <c r="G252" s="11">
        <f>Concentrations!$I$12</f>
        <v>0</v>
      </c>
      <c r="H252" s="2" t="str">
        <f t="shared" si="15"/>
        <v>µM</v>
      </c>
      <c r="I252" s="2" cm="1">
        <f t="array" aca="1" ref="I252" ca="1">IF(MOD(COLUMN(INDIRECT(B252&amp;1)),2)=1,IF(MOD(C252,2)=1,$F$1,$F$2),IF(MOD(C252,2)=1,$H$1,$H$2))</f>
        <v>0</v>
      </c>
      <c r="J252" s="16"/>
      <c r="K252" s="5"/>
    </row>
    <row r="253" spans="1:11" x14ac:dyDescent="0.3">
      <c r="A253" s="2" t="s">
        <v>304</v>
      </c>
      <c r="B253" s="2" t="s">
        <v>296</v>
      </c>
      <c r="C253" s="2" t="s">
        <v>38</v>
      </c>
      <c r="D253" s="11">
        <f>Names!$J$12</f>
        <v>0</v>
      </c>
      <c r="E253" s="2" t="str">
        <f t="shared" si="11"/>
        <v/>
      </c>
      <c r="F253" s="11">
        <f t="shared" si="12"/>
        <v>0</v>
      </c>
      <c r="G253" s="11">
        <f>Concentrations!$J$12</f>
        <v>0</v>
      </c>
      <c r="H253" s="2" t="str">
        <f t="shared" si="15"/>
        <v>µM</v>
      </c>
      <c r="I253" s="2" cm="1">
        <f t="array" aca="1" ref="I253" ca="1">IF(MOD(COLUMN(INDIRECT(B253&amp;1)),2)=1,IF(MOD(C253,2)=1,$F$1,$F$2),IF(MOD(C253,2)=1,$H$1,$H$2))</f>
        <v>0</v>
      </c>
      <c r="J253" s="16"/>
      <c r="K253" s="5"/>
    </row>
    <row r="254" spans="1:11" x14ac:dyDescent="0.3">
      <c r="A254" s="2" t="s">
        <v>305</v>
      </c>
      <c r="B254" s="2" t="s">
        <v>296</v>
      </c>
      <c r="C254" s="2" t="s">
        <v>40</v>
      </c>
      <c r="D254" s="11">
        <f>Names!$K$12</f>
        <v>0</v>
      </c>
      <c r="E254" s="2" t="str">
        <f t="shared" si="11"/>
        <v/>
      </c>
      <c r="F254" s="11">
        <f t="shared" si="12"/>
        <v>0</v>
      </c>
      <c r="G254" s="11">
        <f>Concentrations!$K$12</f>
        <v>0</v>
      </c>
      <c r="H254" s="2" t="str">
        <f t="shared" si="15"/>
        <v>µM</v>
      </c>
      <c r="I254" s="2" cm="1">
        <f t="array" aca="1" ref="I254" ca="1">IF(MOD(COLUMN(INDIRECT(B254&amp;1)),2)=1,IF(MOD(C254,2)=1,$F$1,$F$2),IF(MOD(C254,2)=1,$H$1,$H$2))</f>
        <v>0</v>
      </c>
      <c r="J254" s="16"/>
      <c r="K254" s="5"/>
    </row>
    <row r="255" spans="1:11" x14ac:dyDescent="0.3">
      <c r="A255" s="2" t="s">
        <v>306</v>
      </c>
      <c r="B255" s="2" t="s">
        <v>296</v>
      </c>
      <c r="C255" s="2" t="s">
        <v>42</v>
      </c>
      <c r="D255" s="11">
        <f>Names!$L$12</f>
        <v>0</v>
      </c>
      <c r="E255" s="2" t="str">
        <f t="shared" si="11"/>
        <v/>
      </c>
      <c r="F255" s="11">
        <f t="shared" si="12"/>
        <v>0</v>
      </c>
      <c r="G255" s="11">
        <f>Concentrations!$L$12</f>
        <v>0</v>
      </c>
      <c r="H255" s="2" t="str">
        <f t="shared" si="15"/>
        <v>µM</v>
      </c>
      <c r="I255" s="2" cm="1">
        <f t="array" aca="1" ref="I255" ca="1">IF(MOD(COLUMN(INDIRECT(B255&amp;1)),2)=1,IF(MOD(C255,2)=1,$F$1,$F$2),IF(MOD(C255,2)=1,$H$1,$H$2))</f>
        <v>0</v>
      </c>
      <c r="J255" s="16"/>
      <c r="K255" s="5"/>
    </row>
    <row r="256" spans="1:11" x14ac:dyDescent="0.3">
      <c r="A256" s="2" t="s">
        <v>307</v>
      </c>
      <c r="B256" s="2" t="s">
        <v>296</v>
      </c>
      <c r="C256" s="2" t="s">
        <v>44</v>
      </c>
      <c r="D256" s="11">
        <f>Names!$M$12</f>
        <v>0</v>
      </c>
      <c r="E256" s="2" t="str">
        <f t="shared" si="11"/>
        <v/>
      </c>
      <c r="F256" s="11">
        <f t="shared" si="12"/>
        <v>0</v>
      </c>
      <c r="G256" s="11">
        <f>Concentrations!$M$12</f>
        <v>0</v>
      </c>
      <c r="H256" s="2" t="str">
        <f t="shared" si="15"/>
        <v>µM</v>
      </c>
      <c r="I256" s="2" cm="1">
        <f t="array" aca="1" ref="I256" ca="1">IF(MOD(COLUMN(INDIRECT(B256&amp;1)),2)=1,IF(MOD(C256,2)=1,$F$1,$F$2),IF(MOD(C256,2)=1,$H$1,$H$2))</f>
        <v>0</v>
      </c>
      <c r="J256" s="16"/>
      <c r="K256" s="5"/>
    </row>
    <row r="257" spans="1:11" x14ac:dyDescent="0.3">
      <c r="A257" s="2" t="s">
        <v>308</v>
      </c>
      <c r="B257" s="2" t="s">
        <v>296</v>
      </c>
      <c r="C257" s="2" t="s">
        <v>46</v>
      </c>
      <c r="D257" s="11">
        <f>Names!$N$12</f>
        <v>0</v>
      </c>
      <c r="E257" s="2" t="str">
        <f t="shared" si="11"/>
        <v/>
      </c>
      <c r="F257" s="11">
        <f t="shared" si="12"/>
        <v>0</v>
      </c>
      <c r="G257" s="11">
        <f>Concentrations!$N$12</f>
        <v>0</v>
      </c>
      <c r="H257" s="2" t="str">
        <f t="shared" si="15"/>
        <v>µM</v>
      </c>
      <c r="I257" s="2" cm="1">
        <f t="array" aca="1" ref="I257" ca="1">IF(MOD(COLUMN(INDIRECT(B257&amp;1)),2)=1,IF(MOD(C257,2)=1,$F$1,$F$2),IF(MOD(C257,2)=1,$H$1,$H$2))</f>
        <v>0</v>
      </c>
      <c r="J257" s="16"/>
      <c r="K257" s="5"/>
    </row>
    <row r="258" spans="1:11" x14ac:dyDescent="0.3">
      <c r="A258" s="2" t="s">
        <v>309</v>
      </c>
      <c r="B258" s="2" t="s">
        <v>296</v>
      </c>
      <c r="C258" s="2" t="s">
        <v>48</v>
      </c>
      <c r="D258" s="11">
        <f>Names!$O$12</f>
        <v>0</v>
      </c>
      <c r="E258" s="2" t="str">
        <f t="shared" si="11"/>
        <v/>
      </c>
      <c r="F258" s="11">
        <f t="shared" si="12"/>
        <v>0</v>
      </c>
      <c r="G258" s="11">
        <f>Concentrations!$O$12</f>
        <v>0</v>
      </c>
      <c r="H258" s="2" t="str">
        <f t="shared" si="15"/>
        <v>µM</v>
      </c>
      <c r="I258" s="2" cm="1">
        <f t="array" aca="1" ref="I258" ca="1">IF(MOD(COLUMN(INDIRECT(B258&amp;1)),2)=1,IF(MOD(C258,2)=1,$F$1,$F$2),IF(MOD(C258,2)=1,$H$1,$H$2))</f>
        <v>0</v>
      </c>
      <c r="J258" s="16"/>
      <c r="K258" s="5"/>
    </row>
    <row r="259" spans="1:11" x14ac:dyDescent="0.3">
      <c r="A259" s="2" t="s">
        <v>310</v>
      </c>
      <c r="B259" s="2" t="s">
        <v>296</v>
      </c>
      <c r="C259" s="2" t="s">
        <v>50</v>
      </c>
      <c r="D259" s="11">
        <f>Names!$P$12</f>
        <v>0</v>
      </c>
      <c r="E259" s="2" t="str">
        <f t="shared" si="11"/>
        <v/>
      </c>
      <c r="F259" s="11">
        <f t="shared" si="12"/>
        <v>0</v>
      </c>
      <c r="G259" s="11">
        <f>Concentrations!$P$12</f>
        <v>0</v>
      </c>
      <c r="H259" s="2" t="str">
        <f t="shared" si="15"/>
        <v>µM</v>
      </c>
      <c r="I259" s="2" cm="1">
        <f t="array" aca="1" ref="I259" ca="1">IF(MOD(COLUMN(INDIRECT(B259&amp;1)),2)=1,IF(MOD(C259,2)=1,$F$1,$F$2),IF(MOD(C259,2)=1,$H$1,$H$2))</f>
        <v>0</v>
      </c>
      <c r="J259" s="16"/>
      <c r="K259" s="5"/>
    </row>
    <row r="260" spans="1:11" x14ac:dyDescent="0.3">
      <c r="A260" s="2" t="s">
        <v>311</v>
      </c>
      <c r="B260" s="2" t="s">
        <v>296</v>
      </c>
      <c r="C260" s="2" t="s">
        <v>52</v>
      </c>
      <c r="D260" s="11">
        <f>Names!$Q$12</f>
        <v>0</v>
      </c>
      <c r="E260" s="2" t="str">
        <f t="shared" si="11"/>
        <v/>
      </c>
      <c r="F260" s="11">
        <f t="shared" si="12"/>
        <v>0</v>
      </c>
      <c r="G260" s="11">
        <f>Concentrations!$Q$12</f>
        <v>0</v>
      </c>
      <c r="H260" s="2" t="str">
        <f t="shared" si="15"/>
        <v>µM</v>
      </c>
      <c r="I260" s="2" cm="1">
        <f t="array" aca="1" ref="I260" ca="1">IF(MOD(COLUMN(INDIRECT(B260&amp;1)),2)=1,IF(MOD(C260,2)=1,$F$1,$F$2),IF(MOD(C260,2)=1,$H$1,$H$2))</f>
        <v>0</v>
      </c>
      <c r="J260" s="16"/>
      <c r="K260" s="5"/>
    </row>
    <row r="261" spans="1:11" x14ac:dyDescent="0.3">
      <c r="A261" s="2" t="s">
        <v>312</v>
      </c>
      <c r="B261" s="2" t="s">
        <v>296</v>
      </c>
      <c r="C261" s="2" t="s">
        <v>54</v>
      </c>
      <c r="D261" s="11">
        <f>Names!$R$12</f>
        <v>0</v>
      </c>
      <c r="E261" s="2" t="str">
        <f t="shared" ref="E261:E324" si="16">IF(LEFT(D261,2)="KC",IF(_xlfn.CEILING.MATH(C261/2)-2&lt;1,"",_xlfn.CEILING.MATH(C261/2)-2),"")</f>
        <v/>
      </c>
      <c r="F261" s="11">
        <f t="shared" ref="F261:F324" si="17">IF(E261="",D261,_xlfn.CONCAT(D261,"_",E261))</f>
        <v>0</v>
      </c>
      <c r="G261" s="11">
        <f>Concentrations!$R$12</f>
        <v>0</v>
      </c>
      <c r="H261" s="2" t="str">
        <f t="shared" si="15"/>
        <v>µM</v>
      </c>
      <c r="I261" s="2" cm="1">
        <f t="array" aca="1" ref="I261" ca="1">IF(MOD(COLUMN(INDIRECT(B261&amp;1)),2)=1,IF(MOD(C261,2)=1,$F$1,$F$2),IF(MOD(C261,2)=1,$H$1,$H$2))</f>
        <v>0</v>
      </c>
      <c r="J261" s="16"/>
      <c r="K261" s="5"/>
    </row>
    <row r="262" spans="1:11" x14ac:dyDescent="0.3">
      <c r="A262" s="2" t="s">
        <v>313</v>
      </c>
      <c r="B262" s="2" t="s">
        <v>296</v>
      </c>
      <c r="C262" s="2" t="s">
        <v>56</v>
      </c>
      <c r="D262" s="11">
        <f>Names!$S$12</f>
        <v>0</v>
      </c>
      <c r="E262" s="2" t="str">
        <f t="shared" si="16"/>
        <v/>
      </c>
      <c r="F262" s="11">
        <f t="shared" si="17"/>
        <v>0</v>
      </c>
      <c r="G262" s="11">
        <f>Concentrations!$S$12</f>
        <v>0</v>
      </c>
      <c r="H262" s="2" t="str">
        <f t="shared" si="15"/>
        <v>µM</v>
      </c>
      <c r="I262" s="2" cm="1">
        <f t="array" aca="1" ref="I262" ca="1">IF(MOD(COLUMN(INDIRECT(B262&amp;1)),2)=1,IF(MOD(C262,2)=1,$F$1,$F$2),IF(MOD(C262,2)=1,$H$1,$H$2))</f>
        <v>0</v>
      </c>
      <c r="J262" s="16"/>
      <c r="K262" s="5"/>
    </row>
    <row r="263" spans="1:11" x14ac:dyDescent="0.3">
      <c r="A263" s="2" t="s">
        <v>314</v>
      </c>
      <c r="B263" s="2" t="s">
        <v>296</v>
      </c>
      <c r="C263" s="2" t="s">
        <v>58</v>
      </c>
      <c r="D263" s="11">
        <f>Names!$T$12</f>
        <v>0</v>
      </c>
      <c r="E263" s="2" t="str">
        <f t="shared" si="16"/>
        <v/>
      </c>
      <c r="F263" s="11">
        <f t="shared" si="17"/>
        <v>0</v>
      </c>
      <c r="G263" s="11">
        <f>Concentrations!$T$12</f>
        <v>0</v>
      </c>
      <c r="H263" s="2" t="str">
        <f t="shared" si="15"/>
        <v>µM</v>
      </c>
      <c r="I263" s="2" cm="1">
        <f t="array" aca="1" ref="I263" ca="1">IF(MOD(COLUMN(INDIRECT(B263&amp;1)),2)=1,IF(MOD(C263,2)=1,$F$1,$F$2),IF(MOD(C263,2)=1,$H$1,$H$2))</f>
        <v>0</v>
      </c>
      <c r="J263" s="16"/>
      <c r="K263" s="5"/>
    </row>
    <row r="264" spans="1:11" x14ac:dyDescent="0.3">
      <c r="A264" s="2" t="s">
        <v>315</v>
      </c>
      <c r="B264" s="2" t="s">
        <v>296</v>
      </c>
      <c r="C264" s="2" t="s">
        <v>60</v>
      </c>
      <c r="D264" s="11">
        <f>Names!$U$12</f>
        <v>0</v>
      </c>
      <c r="E264" s="2" t="str">
        <f t="shared" si="16"/>
        <v/>
      </c>
      <c r="F264" s="11">
        <f t="shared" si="17"/>
        <v>0</v>
      </c>
      <c r="G264" s="11">
        <f>Concentrations!$U$12</f>
        <v>0</v>
      </c>
      <c r="H264" s="2" t="str">
        <f t="shared" si="15"/>
        <v>µM</v>
      </c>
      <c r="I264" s="2" cm="1">
        <f t="array" aca="1" ref="I264" ca="1">IF(MOD(COLUMN(INDIRECT(B264&amp;1)),2)=1,IF(MOD(C264,2)=1,$F$1,$F$2),IF(MOD(C264,2)=1,$H$1,$H$2))</f>
        <v>0</v>
      </c>
      <c r="J264" s="16"/>
      <c r="K264" s="5"/>
    </row>
    <row r="265" spans="1:11" x14ac:dyDescent="0.3">
      <c r="A265" s="2" t="s">
        <v>316</v>
      </c>
      <c r="B265" s="2" t="s">
        <v>296</v>
      </c>
      <c r="C265" s="2" t="s">
        <v>62</v>
      </c>
      <c r="D265" s="11">
        <f>Names!$V$12</f>
        <v>0</v>
      </c>
      <c r="E265" s="2" t="str">
        <f t="shared" si="16"/>
        <v/>
      </c>
      <c r="F265" s="11">
        <f t="shared" si="17"/>
        <v>0</v>
      </c>
      <c r="G265" s="11">
        <f>Concentrations!$V$12</f>
        <v>0</v>
      </c>
      <c r="H265" s="2" t="str">
        <f t="shared" si="15"/>
        <v>µM</v>
      </c>
      <c r="I265" s="2" cm="1">
        <f t="array" aca="1" ref="I265" ca="1">IF(MOD(COLUMN(INDIRECT(B265&amp;1)),2)=1,IF(MOD(C265,2)=1,$F$1,$F$2),IF(MOD(C265,2)=1,$H$1,$H$2))</f>
        <v>0</v>
      </c>
      <c r="J265" s="16"/>
      <c r="K265" s="5"/>
    </row>
    <row r="266" spans="1:11" x14ac:dyDescent="0.3">
      <c r="A266" s="2" t="s">
        <v>317</v>
      </c>
      <c r="B266" s="2" t="s">
        <v>296</v>
      </c>
      <c r="C266" s="2" t="s">
        <v>64</v>
      </c>
      <c r="D266" s="11">
        <f>Names!$W$12</f>
        <v>0</v>
      </c>
      <c r="E266" s="2" t="str">
        <f t="shared" si="16"/>
        <v/>
      </c>
      <c r="F266" s="11">
        <f t="shared" si="17"/>
        <v>0</v>
      </c>
      <c r="G266" s="11">
        <f>Concentrations!$W$12</f>
        <v>0</v>
      </c>
      <c r="H266" s="2" t="str">
        <f t="shared" si="15"/>
        <v>µM</v>
      </c>
      <c r="I266" s="2" cm="1">
        <f t="array" aca="1" ref="I266" ca="1">IF(MOD(COLUMN(INDIRECT(B266&amp;1)),2)=1,IF(MOD(C266,2)=1,$F$1,$F$2),IF(MOD(C266,2)=1,$H$1,$H$2))</f>
        <v>0</v>
      </c>
      <c r="J266" s="16"/>
      <c r="K266" s="5"/>
    </row>
    <row r="267" spans="1:11" x14ac:dyDescent="0.3">
      <c r="A267" s="2" t="s">
        <v>318</v>
      </c>
      <c r="B267" s="2" t="s">
        <v>296</v>
      </c>
      <c r="C267" s="2" t="s">
        <v>66</v>
      </c>
      <c r="D267" s="11" t="str">
        <f>Names!$X$12</f>
        <v>DMSO</v>
      </c>
      <c r="E267" s="2" t="str">
        <f t="shared" si="16"/>
        <v/>
      </c>
      <c r="F267" s="11" t="str">
        <f t="shared" si="17"/>
        <v>DMSO</v>
      </c>
      <c r="G267" s="11">
        <f>Concentrations!$X$12</f>
        <v>0</v>
      </c>
      <c r="H267" s="2" t="str">
        <f t="shared" si="15"/>
        <v>µM</v>
      </c>
      <c r="I267" s="2" cm="1">
        <f t="array" aca="1" ref="I267" ca="1">IF(MOD(COLUMN(INDIRECT(B267&amp;1)),2)=1,IF(MOD(C267,2)=1,$F$1,$F$2),IF(MOD(C267,2)=1,$H$1,$H$2))</f>
        <v>0</v>
      </c>
      <c r="J267" s="16"/>
      <c r="K267" s="5"/>
    </row>
    <row r="268" spans="1:11" x14ac:dyDescent="0.3">
      <c r="A268" s="2" t="s">
        <v>319</v>
      </c>
      <c r="B268" s="2" t="s">
        <v>296</v>
      </c>
      <c r="C268" s="2" t="s">
        <v>68</v>
      </c>
      <c r="D268" s="11" t="str">
        <f>Names!$Y$12</f>
        <v>DMSO</v>
      </c>
      <c r="E268" s="2" t="str">
        <f t="shared" si="16"/>
        <v/>
      </c>
      <c r="F268" s="11" t="str">
        <f t="shared" si="17"/>
        <v>DMSO</v>
      </c>
      <c r="G268" s="11">
        <f>Concentrations!$Y$12</f>
        <v>0</v>
      </c>
      <c r="H268" s="2" t="str">
        <f t="shared" si="15"/>
        <v>µM</v>
      </c>
      <c r="I268" s="2" cm="1">
        <f t="array" aca="1" ref="I268" ca="1">IF(MOD(COLUMN(INDIRECT(B268&amp;1)),2)=1,IF(MOD(C268,2)=1,$F$1,$F$2),IF(MOD(C268,2)=1,$H$1,$H$2))</f>
        <v>0</v>
      </c>
      <c r="J268" s="16"/>
      <c r="K268" s="5"/>
    </row>
    <row r="269" spans="1:11" x14ac:dyDescent="0.3">
      <c r="A269" s="2" t="s">
        <v>320</v>
      </c>
      <c r="B269" s="2" t="s">
        <v>321</v>
      </c>
      <c r="C269" s="2" t="s">
        <v>21</v>
      </c>
      <c r="D269" s="11" t="str">
        <f>Names!$B$13</f>
        <v>Emetine dihydrochloride</v>
      </c>
      <c r="E269" s="2" t="str">
        <f t="shared" si="16"/>
        <v/>
      </c>
      <c r="F269" s="11" t="str">
        <f t="shared" si="17"/>
        <v>Emetine dihydrochloride</v>
      </c>
      <c r="G269" s="11">
        <f>Concentrations!$B$13</f>
        <v>1</v>
      </c>
      <c r="H269" s="2" t="s">
        <v>122</v>
      </c>
      <c r="I269" s="2" cm="1">
        <f t="array" aca="1" ref="I269" ca="1">IF(MOD(COLUMN(INDIRECT(B269&amp;1)),2)=1,IF(MOD(C269,2)=1,$F$1,$F$2),IF(MOD(C269,2)=1,$H$1,$H$2))</f>
        <v>0</v>
      </c>
      <c r="J269" s="16"/>
      <c r="K269" s="5"/>
    </row>
    <row r="270" spans="1:11" x14ac:dyDescent="0.3">
      <c r="A270" s="2" t="s">
        <v>322</v>
      </c>
      <c r="B270" s="2" t="s">
        <v>321</v>
      </c>
      <c r="C270" s="2" t="s">
        <v>24</v>
      </c>
      <c r="D270" s="11" t="str">
        <f>Names!$C$13</f>
        <v>Cyclohexamide</v>
      </c>
      <c r="E270" s="2" t="str">
        <f t="shared" si="16"/>
        <v/>
      </c>
      <c r="F270" s="11" t="str">
        <f t="shared" si="17"/>
        <v>Cyclohexamide</v>
      </c>
      <c r="G270" s="11">
        <f>Concentrations!$C$13</f>
        <v>0.3</v>
      </c>
      <c r="H270" s="2" t="s">
        <v>122</v>
      </c>
      <c r="I270" s="2" cm="1">
        <f t="array" aca="1" ref="I270" ca="1">IF(MOD(COLUMN(INDIRECT(B270&amp;1)),2)=1,IF(MOD(C270,2)=1,$F$1,$F$2),IF(MOD(C270,2)=1,$H$1,$H$2))</f>
        <v>0</v>
      </c>
      <c r="J270" s="16"/>
      <c r="K270" s="5"/>
    </row>
    <row r="271" spans="1:11" x14ac:dyDescent="0.3">
      <c r="A271" s="2" t="s">
        <v>323</v>
      </c>
      <c r="B271" s="2" t="s">
        <v>321</v>
      </c>
      <c r="C271" s="2" t="s">
        <v>26</v>
      </c>
      <c r="D271" s="11">
        <f>Names!$D$13</f>
        <v>0</v>
      </c>
      <c r="E271" s="2" t="str">
        <f t="shared" si="16"/>
        <v/>
      </c>
      <c r="F271" s="11">
        <f t="shared" si="17"/>
        <v>0</v>
      </c>
      <c r="G271" s="11">
        <f>Concentrations!$D$13</f>
        <v>0</v>
      </c>
      <c r="H271" s="2" t="str">
        <f t="shared" ref="H271:H292" si="18">IF(LEFT(D271,2)="KC","%","µM")</f>
        <v>µM</v>
      </c>
      <c r="I271" s="2" cm="1">
        <f t="array" aca="1" ref="I271" ca="1">IF(MOD(COLUMN(INDIRECT(B271&amp;1)),2)=1,IF(MOD(C271,2)=1,$F$1,$F$2),IF(MOD(C271,2)=1,$H$1,$H$2))</f>
        <v>0</v>
      </c>
      <c r="J271" s="16"/>
      <c r="K271" s="5"/>
    </row>
    <row r="272" spans="1:11" x14ac:dyDescent="0.3">
      <c r="A272" s="2" t="s">
        <v>324</v>
      </c>
      <c r="B272" s="2" t="s">
        <v>321</v>
      </c>
      <c r="C272" s="2" t="s">
        <v>28</v>
      </c>
      <c r="D272" s="11">
        <f>Names!$E$13</f>
        <v>0</v>
      </c>
      <c r="E272" s="2" t="str">
        <f t="shared" si="16"/>
        <v/>
      </c>
      <c r="F272" s="11">
        <f t="shared" si="17"/>
        <v>0</v>
      </c>
      <c r="G272" s="11">
        <f>Concentrations!$E$13</f>
        <v>0</v>
      </c>
      <c r="H272" s="2" t="str">
        <f t="shared" si="18"/>
        <v>µM</v>
      </c>
      <c r="I272" s="2" cm="1">
        <f t="array" aca="1" ref="I272" ca="1">IF(MOD(COLUMN(INDIRECT(B272&amp;1)),2)=1,IF(MOD(C272,2)=1,$F$1,$F$2),IF(MOD(C272,2)=1,$H$1,$H$2))</f>
        <v>0</v>
      </c>
      <c r="J272" s="16"/>
      <c r="K272" s="5"/>
    </row>
    <row r="273" spans="1:11" x14ac:dyDescent="0.3">
      <c r="A273" s="2" t="s">
        <v>325</v>
      </c>
      <c r="B273" s="2" t="s">
        <v>321</v>
      </c>
      <c r="C273" s="2" t="s">
        <v>30</v>
      </c>
      <c r="D273" s="11">
        <f>Names!$F$13</f>
        <v>0</v>
      </c>
      <c r="E273" s="2" t="str">
        <f t="shared" si="16"/>
        <v/>
      </c>
      <c r="F273" s="11">
        <f t="shared" si="17"/>
        <v>0</v>
      </c>
      <c r="G273" s="11">
        <f>Concentrations!$F$13</f>
        <v>0</v>
      </c>
      <c r="H273" s="2" t="str">
        <f t="shared" si="18"/>
        <v>µM</v>
      </c>
      <c r="I273" s="2" cm="1">
        <f t="array" aca="1" ref="I273" ca="1">IF(MOD(COLUMN(INDIRECT(B273&amp;1)),2)=1,IF(MOD(C273,2)=1,$F$1,$F$2),IF(MOD(C273,2)=1,$H$1,$H$2))</f>
        <v>0</v>
      </c>
      <c r="J273" s="16"/>
      <c r="K273" s="5"/>
    </row>
    <row r="274" spans="1:11" x14ac:dyDescent="0.3">
      <c r="A274" s="2" t="s">
        <v>326</v>
      </c>
      <c r="B274" s="2" t="s">
        <v>321</v>
      </c>
      <c r="C274" s="2" t="s">
        <v>32</v>
      </c>
      <c r="D274" s="11">
        <f>Names!$G$13</f>
        <v>0</v>
      </c>
      <c r="E274" s="2" t="str">
        <f t="shared" si="16"/>
        <v/>
      </c>
      <c r="F274" s="11">
        <f t="shared" si="17"/>
        <v>0</v>
      </c>
      <c r="G274" s="11">
        <f>Concentrations!$G$13</f>
        <v>0</v>
      </c>
      <c r="H274" s="2" t="str">
        <f t="shared" si="18"/>
        <v>µM</v>
      </c>
      <c r="I274" s="2" cm="1">
        <f t="array" aca="1" ref="I274" ca="1">IF(MOD(COLUMN(INDIRECT(B274&amp;1)),2)=1,IF(MOD(C274,2)=1,$F$1,$F$2),IF(MOD(C274,2)=1,$H$1,$H$2))</f>
        <v>0</v>
      </c>
      <c r="J274" s="16"/>
      <c r="K274" s="5"/>
    </row>
    <row r="275" spans="1:11" x14ac:dyDescent="0.3">
      <c r="A275" s="2" t="s">
        <v>327</v>
      </c>
      <c r="B275" s="2" t="s">
        <v>321</v>
      </c>
      <c r="C275" s="2" t="s">
        <v>34</v>
      </c>
      <c r="D275" s="11">
        <f>Names!$H$13</f>
        <v>0</v>
      </c>
      <c r="E275" s="2" t="str">
        <f t="shared" si="16"/>
        <v/>
      </c>
      <c r="F275" s="11">
        <f t="shared" si="17"/>
        <v>0</v>
      </c>
      <c r="G275" s="11">
        <f>Concentrations!$H$13</f>
        <v>0</v>
      </c>
      <c r="H275" s="2" t="str">
        <f t="shared" si="18"/>
        <v>µM</v>
      </c>
      <c r="I275" s="2" cm="1">
        <f t="array" aca="1" ref="I275" ca="1">IF(MOD(COLUMN(INDIRECT(B275&amp;1)),2)=1,IF(MOD(C275,2)=1,$F$1,$F$2),IF(MOD(C275,2)=1,$H$1,$H$2))</f>
        <v>0</v>
      </c>
      <c r="J275" s="16"/>
      <c r="K275" s="5"/>
    </row>
    <row r="276" spans="1:11" x14ac:dyDescent="0.3">
      <c r="A276" s="2" t="s">
        <v>328</v>
      </c>
      <c r="B276" s="2" t="s">
        <v>321</v>
      </c>
      <c r="C276" s="2" t="s">
        <v>36</v>
      </c>
      <c r="D276" s="11">
        <f>Names!$I$13</f>
        <v>0</v>
      </c>
      <c r="E276" s="2" t="str">
        <f t="shared" si="16"/>
        <v/>
      </c>
      <c r="F276" s="11">
        <f t="shared" si="17"/>
        <v>0</v>
      </c>
      <c r="G276" s="11">
        <f>Concentrations!$I$13</f>
        <v>0</v>
      </c>
      <c r="H276" s="2" t="str">
        <f t="shared" si="18"/>
        <v>µM</v>
      </c>
      <c r="I276" s="2" cm="1">
        <f t="array" aca="1" ref="I276" ca="1">IF(MOD(COLUMN(INDIRECT(B276&amp;1)),2)=1,IF(MOD(C276,2)=1,$F$1,$F$2),IF(MOD(C276,2)=1,$H$1,$H$2))</f>
        <v>0</v>
      </c>
      <c r="J276" s="16"/>
      <c r="K276" s="5"/>
    </row>
    <row r="277" spans="1:11" x14ac:dyDescent="0.3">
      <c r="A277" s="2" t="s">
        <v>329</v>
      </c>
      <c r="B277" s="2" t="s">
        <v>321</v>
      </c>
      <c r="C277" s="2" t="s">
        <v>38</v>
      </c>
      <c r="D277" s="11">
        <f>Names!$J$13</f>
        <v>0</v>
      </c>
      <c r="E277" s="2" t="str">
        <f t="shared" si="16"/>
        <v/>
      </c>
      <c r="F277" s="11">
        <f t="shared" si="17"/>
        <v>0</v>
      </c>
      <c r="G277" s="11">
        <f>Concentrations!$J$13</f>
        <v>0</v>
      </c>
      <c r="H277" s="2" t="str">
        <f t="shared" si="18"/>
        <v>µM</v>
      </c>
      <c r="I277" s="2" cm="1">
        <f t="array" aca="1" ref="I277" ca="1">IF(MOD(COLUMN(INDIRECT(B277&amp;1)),2)=1,IF(MOD(C277,2)=1,$F$1,$F$2),IF(MOD(C277,2)=1,$H$1,$H$2))</f>
        <v>0</v>
      </c>
      <c r="J277" s="16"/>
      <c r="K277" s="5"/>
    </row>
    <row r="278" spans="1:11" x14ac:dyDescent="0.3">
      <c r="A278" s="2" t="s">
        <v>330</v>
      </c>
      <c r="B278" s="2" t="s">
        <v>321</v>
      </c>
      <c r="C278" s="2" t="s">
        <v>40</v>
      </c>
      <c r="D278" s="11">
        <f>Names!$K$13</f>
        <v>0</v>
      </c>
      <c r="E278" s="2" t="str">
        <f t="shared" si="16"/>
        <v/>
      </c>
      <c r="F278" s="11">
        <f t="shared" si="17"/>
        <v>0</v>
      </c>
      <c r="G278" s="11">
        <f>Concentrations!$K$13</f>
        <v>0</v>
      </c>
      <c r="H278" s="2" t="str">
        <f t="shared" si="18"/>
        <v>µM</v>
      </c>
      <c r="I278" s="2" cm="1">
        <f t="array" aca="1" ref="I278" ca="1">IF(MOD(COLUMN(INDIRECT(B278&amp;1)),2)=1,IF(MOD(C278,2)=1,$F$1,$F$2),IF(MOD(C278,2)=1,$H$1,$H$2))</f>
        <v>0</v>
      </c>
      <c r="J278" s="16"/>
      <c r="K278" s="5"/>
    </row>
    <row r="279" spans="1:11" x14ac:dyDescent="0.3">
      <c r="A279" s="2" t="s">
        <v>331</v>
      </c>
      <c r="B279" s="2" t="s">
        <v>321</v>
      </c>
      <c r="C279" s="2" t="s">
        <v>42</v>
      </c>
      <c r="D279" s="11">
        <f>Names!$L$13</f>
        <v>0</v>
      </c>
      <c r="E279" s="2" t="str">
        <f t="shared" si="16"/>
        <v/>
      </c>
      <c r="F279" s="11">
        <f t="shared" si="17"/>
        <v>0</v>
      </c>
      <c r="G279" s="11">
        <f>Concentrations!$L$13</f>
        <v>0</v>
      </c>
      <c r="H279" s="2" t="str">
        <f t="shared" si="18"/>
        <v>µM</v>
      </c>
      <c r="I279" s="2" cm="1">
        <f t="array" aca="1" ref="I279" ca="1">IF(MOD(COLUMN(INDIRECT(B279&amp;1)),2)=1,IF(MOD(C279,2)=1,$F$1,$F$2),IF(MOD(C279,2)=1,$H$1,$H$2))</f>
        <v>0</v>
      </c>
      <c r="J279" s="16"/>
      <c r="K279" s="5"/>
    </row>
    <row r="280" spans="1:11" x14ac:dyDescent="0.3">
      <c r="A280" s="2" t="s">
        <v>332</v>
      </c>
      <c r="B280" s="2" t="s">
        <v>321</v>
      </c>
      <c r="C280" s="2" t="s">
        <v>44</v>
      </c>
      <c r="D280" s="11">
        <f>Names!$M$13</f>
        <v>0</v>
      </c>
      <c r="E280" s="2" t="str">
        <f t="shared" si="16"/>
        <v/>
      </c>
      <c r="F280" s="11">
        <f t="shared" si="17"/>
        <v>0</v>
      </c>
      <c r="G280" s="11">
        <f>Concentrations!$M$13</f>
        <v>0</v>
      </c>
      <c r="H280" s="2" t="str">
        <f t="shared" si="18"/>
        <v>µM</v>
      </c>
      <c r="I280" s="2" cm="1">
        <f t="array" aca="1" ref="I280" ca="1">IF(MOD(COLUMN(INDIRECT(B280&amp;1)),2)=1,IF(MOD(C280,2)=1,$F$1,$F$2),IF(MOD(C280,2)=1,$H$1,$H$2))</f>
        <v>0</v>
      </c>
      <c r="J280" s="16"/>
      <c r="K280" s="5"/>
    </row>
    <row r="281" spans="1:11" x14ac:dyDescent="0.3">
      <c r="A281" s="2" t="s">
        <v>333</v>
      </c>
      <c r="B281" s="2" t="s">
        <v>321</v>
      </c>
      <c r="C281" s="2" t="s">
        <v>46</v>
      </c>
      <c r="D281" s="11">
        <f>Names!$N$13</f>
        <v>0</v>
      </c>
      <c r="E281" s="2" t="str">
        <f t="shared" si="16"/>
        <v/>
      </c>
      <c r="F281" s="11">
        <f t="shared" si="17"/>
        <v>0</v>
      </c>
      <c r="G281" s="11">
        <f>Concentrations!$N$13</f>
        <v>0</v>
      </c>
      <c r="H281" s="2" t="str">
        <f t="shared" si="18"/>
        <v>µM</v>
      </c>
      <c r="I281" s="2" cm="1">
        <f t="array" aca="1" ref="I281" ca="1">IF(MOD(COLUMN(INDIRECT(B281&amp;1)),2)=1,IF(MOD(C281,2)=1,$F$1,$F$2),IF(MOD(C281,2)=1,$H$1,$H$2))</f>
        <v>0</v>
      </c>
      <c r="J281" s="16"/>
      <c r="K281" s="5"/>
    </row>
    <row r="282" spans="1:11" x14ac:dyDescent="0.3">
      <c r="A282" s="2" t="s">
        <v>334</v>
      </c>
      <c r="B282" s="2" t="s">
        <v>321</v>
      </c>
      <c r="C282" s="2" t="s">
        <v>48</v>
      </c>
      <c r="D282" s="11">
        <f>Names!$O$13</f>
        <v>0</v>
      </c>
      <c r="E282" s="2" t="str">
        <f t="shared" si="16"/>
        <v/>
      </c>
      <c r="F282" s="11">
        <f t="shared" si="17"/>
        <v>0</v>
      </c>
      <c r="G282" s="11">
        <f>Concentrations!$O$13</f>
        <v>0</v>
      </c>
      <c r="H282" s="2" t="str">
        <f t="shared" si="18"/>
        <v>µM</v>
      </c>
      <c r="I282" s="2" cm="1">
        <f t="array" aca="1" ref="I282" ca="1">IF(MOD(COLUMN(INDIRECT(B282&amp;1)),2)=1,IF(MOD(C282,2)=1,$F$1,$F$2),IF(MOD(C282,2)=1,$H$1,$H$2))</f>
        <v>0</v>
      </c>
      <c r="J282" s="16"/>
      <c r="K282" s="5"/>
    </row>
    <row r="283" spans="1:11" x14ac:dyDescent="0.3">
      <c r="A283" s="2" t="s">
        <v>335</v>
      </c>
      <c r="B283" s="2" t="s">
        <v>321</v>
      </c>
      <c r="C283" s="2" t="s">
        <v>50</v>
      </c>
      <c r="D283" s="11">
        <f>Names!$P$13</f>
        <v>0</v>
      </c>
      <c r="E283" s="2" t="str">
        <f t="shared" si="16"/>
        <v/>
      </c>
      <c r="F283" s="11">
        <f t="shared" si="17"/>
        <v>0</v>
      </c>
      <c r="G283" s="11">
        <f>Concentrations!$P$13</f>
        <v>0</v>
      </c>
      <c r="H283" s="2" t="str">
        <f t="shared" si="18"/>
        <v>µM</v>
      </c>
      <c r="I283" s="2" cm="1">
        <f t="array" aca="1" ref="I283" ca="1">IF(MOD(COLUMN(INDIRECT(B283&amp;1)),2)=1,IF(MOD(C283,2)=1,$F$1,$F$2),IF(MOD(C283,2)=1,$H$1,$H$2))</f>
        <v>0</v>
      </c>
      <c r="J283" s="16"/>
      <c r="K283" s="5"/>
    </row>
    <row r="284" spans="1:11" x14ac:dyDescent="0.3">
      <c r="A284" s="2" t="s">
        <v>336</v>
      </c>
      <c r="B284" s="2" t="s">
        <v>321</v>
      </c>
      <c r="C284" s="2" t="s">
        <v>52</v>
      </c>
      <c r="D284" s="11">
        <f>Names!$Q$13</f>
        <v>0</v>
      </c>
      <c r="E284" s="2" t="str">
        <f t="shared" si="16"/>
        <v/>
      </c>
      <c r="F284" s="11">
        <f t="shared" si="17"/>
        <v>0</v>
      </c>
      <c r="G284" s="11">
        <f>Concentrations!$Q$13</f>
        <v>0</v>
      </c>
      <c r="H284" s="2" t="str">
        <f t="shared" si="18"/>
        <v>µM</v>
      </c>
      <c r="I284" s="2" cm="1">
        <f t="array" aca="1" ref="I284" ca="1">IF(MOD(COLUMN(INDIRECT(B284&amp;1)),2)=1,IF(MOD(C284,2)=1,$F$1,$F$2),IF(MOD(C284,2)=1,$H$1,$H$2))</f>
        <v>0</v>
      </c>
      <c r="J284" s="16"/>
      <c r="K284" s="5"/>
    </row>
    <row r="285" spans="1:11" x14ac:dyDescent="0.3">
      <c r="A285" s="2" t="s">
        <v>337</v>
      </c>
      <c r="B285" s="2" t="s">
        <v>321</v>
      </c>
      <c r="C285" s="2" t="s">
        <v>54</v>
      </c>
      <c r="D285" s="11">
        <f>Names!$R$13</f>
        <v>0</v>
      </c>
      <c r="E285" s="2" t="str">
        <f t="shared" si="16"/>
        <v/>
      </c>
      <c r="F285" s="11">
        <f t="shared" si="17"/>
        <v>0</v>
      </c>
      <c r="G285" s="11">
        <f>Concentrations!$R$13</f>
        <v>0</v>
      </c>
      <c r="H285" s="2" t="str">
        <f t="shared" si="18"/>
        <v>µM</v>
      </c>
      <c r="I285" s="2" cm="1">
        <f t="array" aca="1" ref="I285" ca="1">IF(MOD(COLUMN(INDIRECT(B285&amp;1)),2)=1,IF(MOD(C285,2)=1,$F$1,$F$2),IF(MOD(C285,2)=1,$H$1,$H$2))</f>
        <v>0</v>
      </c>
      <c r="J285" s="16"/>
      <c r="K285" s="5"/>
    </row>
    <row r="286" spans="1:11" x14ac:dyDescent="0.3">
      <c r="A286" s="2" t="s">
        <v>338</v>
      </c>
      <c r="B286" s="2" t="s">
        <v>321</v>
      </c>
      <c r="C286" s="2" t="s">
        <v>56</v>
      </c>
      <c r="D286" s="11">
        <f>Names!$S$13</f>
        <v>0</v>
      </c>
      <c r="E286" s="2" t="str">
        <f t="shared" si="16"/>
        <v/>
      </c>
      <c r="F286" s="11">
        <f t="shared" si="17"/>
        <v>0</v>
      </c>
      <c r="G286" s="11">
        <f>Concentrations!$S$13</f>
        <v>0</v>
      </c>
      <c r="H286" s="2" t="str">
        <f t="shared" si="18"/>
        <v>µM</v>
      </c>
      <c r="I286" s="2" cm="1">
        <f t="array" aca="1" ref="I286" ca="1">IF(MOD(COLUMN(INDIRECT(B286&amp;1)),2)=1,IF(MOD(C286,2)=1,$F$1,$F$2),IF(MOD(C286,2)=1,$H$1,$H$2))</f>
        <v>0</v>
      </c>
      <c r="J286" s="16"/>
      <c r="K286" s="5"/>
    </row>
    <row r="287" spans="1:11" x14ac:dyDescent="0.3">
      <c r="A287" s="2" t="s">
        <v>339</v>
      </c>
      <c r="B287" s="2" t="s">
        <v>321</v>
      </c>
      <c r="C287" s="2" t="s">
        <v>58</v>
      </c>
      <c r="D287" s="11">
        <f>Names!$T$13</f>
        <v>0</v>
      </c>
      <c r="E287" s="2" t="str">
        <f t="shared" si="16"/>
        <v/>
      </c>
      <c r="F287" s="11">
        <f t="shared" si="17"/>
        <v>0</v>
      </c>
      <c r="G287" s="11">
        <f>Concentrations!$T$13</f>
        <v>0</v>
      </c>
      <c r="H287" s="2" t="str">
        <f t="shared" si="18"/>
        <v>µM</v>
      </c>
      <c r="I287" s="2" cm="1">
        <f t="array" aca="1" ref="I287" ca="1">IF(MOD(COLUMN(INDIRECT(B287&amp;1)),2)=1,IF(MOD(C287,2)=1,$F$1,$F$2),IF(MOD(C287,2)=1,$H$1,$H$2))</f>
        <v>0</v>
      </c>
      <c r="J287" s="16"/>
      <c r="K287" s="5"/>
    </row>
    <row r="288" spans="1:11" x14ac:dyDescent="0.3">
      <c r="A288" s="2" t="s">
        <v>340</v>
      </c>
      <c r="B288" s="2" t="s">
        <v>321</v>
      </c>
      <c r="C288" s="2" t="s">
        <v>60</v>
      </c>
      <c r="D288" s="11">
        <f>Names!$U$13</f>
        <v>0</v>
      </c>
      <c r="E288" s="2" t="str">
        <f t="shared" si="16"/>
        <v/>
      </c>
      <c r="F288" s="11">
        <f t="shared" si="17"/>
        <v>0</v>
      </c>
      <c r="G288" s="11">
        <f>Concentrations!$U$13</f>
        <v>0</v>
      </c>
      <c r="H288" s="2" t="str">
        <f t="shared" si="18"/>
        <v>µM</v>
      </c>
      <c r="I288" s="2" cm="1">
        <f t="array" aca="1" ref="I288" ca="1">IF(MOD(COLUMN(INDIRECT(B288&amp;1)),2)=1,IF(MOD(C288,2)=1,$F$1,$F$2),IF(MOD(C288,2)=1,$H$1,$H$2))</f>
        <v>0</v>
      </c>
      <c r="J288" s="16"/>
      <c r="K288" s="5"/>
    </row>
    <row r="289" spans="1:11" x14ac:dyDescent="0.3">
      <c r="A289" s="2" t="s">
        <v>341</v>
      </c>
      <c r="B289" s="2" t="s">
        <v>321</v>
      </c>
      <c r="C289" s="2" t="s">
        <v>62</v>
      </c>
      <c r="D289" s="11">
        <f>Names!$V$13</f>
        <v>0</v>
      </c>
      <c r="E289" s="2" t="str">
        <f t="shared" si="16"/>
        <v/>
      </c>
      <c r="F289" s="11">
        <f t="shared" si="17"/>
        <v>0</v>
      </c>
      <c r="G289" s="11">
        <f>Concentrations!$V$13</f>
        <v>0</v>
      </c>
      <c r="H289" s="2" t="str">
        <f t="shared" si="18"/>
        <v>µM</v>
      </c>
      <c r="I289" s="2" cm="1">
        <f t="array" aca="1" ref="I289" ca="1">IF(MOD(COLUMN(INDIRECT(B289&amp;1)),2)=1,IF(MOD(C289,2)=1,$F$1,$F$2),IF(MOD(C289,2)=1,$H$1,$H$2))</f>
        <v>0</v>
      </c>
      <c r="J289" s="16"/>
      <c r="K289" s="5"/>
    </row>
    <row r="290" spans="1:11" x14ac:dyDescent="0.3">
      <c r="A290" s="2" t="s">
        <v>342</v>
      </c>
      <c r="B290" s="2" t="s">
        <v>321</v>
      </c>
      <c r="C290" s="2" t="s">
        <v>64</v>
      </c>
      <c r="D290" s="11">
        <f>Names!$W$13</f>
        <v>0</v>
      </c>
      <c r="E290" s="2" t="str">
        <f t="shared" si="16"/>
        <v/>
      </c>
      <c r="F290" s="11">
        <f t="shared" si="17"/>
        <v>0</v>
      </c>
      <c r="G290" s="11">
        <f>Concentrations!$W$13</f>
        <v>0</v>
      </c>
      <c r="H290" s="2" t="str">
        <f t="shared" si="18"/>
        <v>µM</v>
      </c>
      <c r="I290" s="2" cm="1">
        <f t="array" aca="1" ref="I290" ca="1">IF(MOD(COLUMN(INDIRECT(B290&amp;1)),2)=1,IF(MOD(C290,2)=1,$F$1,$F$2),IF(MOD(C290,2)=1,$H$1,$H$2))</f>
        <v>0</v>
      </c>
      <c r="J290" s="16"/>
      <c r="K290" s="5"/>
    </row>
    <row r="291" spans="1:11" x14ac:dyDescent="0.3">
      <c r="A291" s="2" t="s">
        <v>343</v>
      </c>
      <c r="B291" s="2" t="s">
        <v>321</v>
      </c>
      <c r="C291" s="2" t="s">
        <v>66</v>
      </c>
      <c r="D291" s="11" t="str">
        <f>Names!$X$13</f>
        <v>DMSO</v>
      </c>
      <c r="E291" s="2" t="str">
        <f t="shared" si="16"/>
        <v/>
      </c>
      <c r="F291" s="11" t="str">
        <f t="shared" si="17"/>
        <v>DMSO</v>
      </c>
      <c r="G291" s="11">
        <f>Concentrations!$X$13</f>
        <v>0</v>
      </c>
      <c r="H291" s="2" t="str">
        <f t="shared" si="18"/>
        <v>µM</v>
      </c>
      <c r="I291" s="2" cm="1">
        <f t="array" aca="1" ref="I291" ca="1">IF(MOD(COLUMN(INDIRECT(B291&amp;1)),2)=1,IF(MOD(C291,2)=1,$F$1,$F$2),IF(MOD(C291,2)=1,$H$1,$H$2))</f>
        <v>0</v>
      </c>
      <c r="J291" s="16"/>
      <c r="K291" s="5"/>
    </row>
    <row r="292" spans="1:11" x14ac:dyDescent="0.3">
      <c r="A292" s="2" t="s">
        <v>344</v>
      </c>
      <c r="B292" s="2" t="s">
        <v>321</v>
      </c>
      <c r="C292" s="2" t="s">
        <v>68</v>
      </c>
      <c r="D292" s="11" t="str">
        <f>Names!$Y$13</f>
        <v>DMSO</v>
      </c>
      <c r="E292" s="2" t="str">
        <f t="shared" si="16"/>
        <v/>
      </c>
      <c r="F292" s="11" t="str">
        <f t="shared" si="17"/>
        <v>DMSO</v>
      </c>
      <c r="G292" s="11">
        <f>Concentrations!$Y$13</f>
        <v>0</v>
      </c>
      <c r="H292" s="2" t="str">
        <f t="shared" si="18"/>
        <v>µM</v>
      </c>
      <c r="I292" s="2" cm="1">
        <f t="array" aca="1" ref="I292" ca="1">IF(MOD(COLUMN(INDIRECT(B292&amp;1)),2)=1,IF(MOD(C292,2)=1,$F$1,$F$2),IF(MOD(C292,2)=1,$H$1,$H$2))</f>
        <v>0</v>
      </c>
      <c r="J292" s="16"/>
      <c r="K292" s="5"/>
    </row>
    <row r="293" spans="1:11" x14ac:dyDescent="0.3">
      <c r="A293" s="2" t="s">
        <v>345</v>
      </c>
      <c r="B293" s="2" t="s">
        <v>346</v>
      </c>
      <c r="C293" s="2" t="s">
        <v>21</v>
      </c>
      <c r="D293" s="11" t="str">
        <f>Names!$B$14</f>
        <v>DMSO</v>
      </c>
      <c r="E293" s="2" t="str">
        <f t="shared" si="16"/>
        <v/>
      </c>
      <c r="F293" s="11" t="str">
        <f t="shared" si="17"/>
        <v>DMSO</v>
      </c>
      <c r="G293" s="11">
        <f>Concentrations!$B$14</f>
        <v>0</v>
      </c>
      <c r="H293" s="2" t="s">
        <v>22</v>
      </c>
      <c r="I293" s="2" cm="1">
        <f t="array" aca="1" ref="I293" ca="1">IF(MOD(COLUMN(INDIRECT(B293&amp;1)),2)=1,IF(MOD(C293,2)=1,$F$1,$F$2),IF(MOD(C293,2)=1,$H$1,$H$2))</f>
        <v>0</v>
      </c>
      <c r="J293" s="16"/>
      <c r="K293" s="5"/>
    </row>
    <row r="294" spans="1:11" x14ac:dyDescent="0.3">
      <c r="A294" s="2" t="s">
        <v>347</v>
      </c>
      <c r="B294" s="2" t="s">
        <v>346</v>
      </c>
      <c r="C294" s="2" t="s">
        <v>24</v>
      </c>
      <c r="D294" s="11" t="str">
        <f>Names!$C$14</f>
        <v>DMSO</v>
      </c>
      <c r="E294" s="2" t="str">
        <f t="shared" si="16"/>
        <v/>
      </c>
      <c r="F294" s="11" t="str">
        <f t="shared" si="17"/>
        <v>DMSO</v>
      </c>
      <c r="G294" s="11">
        <f>Concentrations!$C$14</f>
        <v>0</v>
      </c>
      <c r="H294" s="2" t="s">
        <v>122</v>
      </c>
      <c r="I294" s="2" cm="1">
        <f t="array" aca="1" ref="I294" ca="1">IF(MOD(COLUMN(INDIRECT(B294&amp;1)),2)=1,IF(MOD(C294,2)=1,$F$1,$F$2),IF(MOD(C294,2)=1,$H$1,$H$2))</f>
        <v>0</v>
      </c>
      <c r="J294" s="16"/>
      <c r="K294" s="5"/>
    </row>
    <row r="295" spans="1:11" x14ac:dyDescent="0.3">
      <c r="A295" s="2" t="s">
        <v>348</v>
      </c>
      <c r="B295" s="2" t="s">
        <v>346</v>
      </c>
      <c r="C295" s="2" t="s">
        <v>26</v>
      </c>
      <c r="D295" s="11">
        <f>Names!$D$14</f>
        <v>0</v>
      </c>
      <c r="E295" s="2" t="str">
        <f t="shared" si="16"/>
        <v/>
      </c>
      <c r="F295" s="11">
        <f t="shared" si="17"/>
        <v>0</v>
      </c>
      <c r="G295" s="11">
        <f>Concentrations!$D$14</f>
        <v>0</v>
      </c>
      <c r="H295" s="2" t="str">
        <f t="shared" ref="H295:H316" si="19">IF(LEFT(D295,2)="KC","%","µM")</f>
        <v>µM</v>
      </c>
      <c r="I295" s="2" cm="1">
        <f t="array" aca="1" ref="I295" ca="1">IF(MOD(COLUMN(INDIRECT(B295&amp;1)),2)=1,IF(MOD(C295,2)=1,$F$1,$F$2),IF(MOD(C295,2)=1,$H$1,$H$2))</f>
        <v>0</v>
      </c>
      <c r="J295" s="16"/>
      <c r="K295" s="5"/>
    </row>
    <row r="296" spans="1:11" x14ac:dyDescent="0.3">
      <c r="A296" s="2" t="s">
        <v>349</v>
      </c>
      <c r="B296" s="2" t="s">
        <v>346</v>
      </c>
      <c r="C296" s="2" t="s">
        <v>28</v>
      </c>
      <c r="D296" s="11">
        <f>Names!$E$14</f>
        <v>0</v>
      </c>
      <c r="E296" s="2" t="str">
        <f t="shared" si="16"/>
        <v/>
      </c>
      <c r="F296" s="11">
        <f t="shared" si="17"/>
        <v>0</v>
      </c>
      <c r="G296" s="11">
        <f>Concentrations!$E$14</f>
        <v>0</v>
      </c>
      <c r="H296" s="2" t="str">
        <f t="shared" si="19"/>
        <v>µM</v>
      </c>
      <c r="I296" s="2" cm="1">
        <f t="array" aca="1" ref="I296" ca="1">IF(MOD(COLUMN(INDIRECT(B296&amp;1)),2)=1,IF(MOD(C296,2)=1,$F$1,$F$2),IF(MOD(C296,2)=1,$H$1,$H$2))</f>
        <v>0</v>
      </c>
      <c r="J296" s="16"/>
      <c r="K296" s="5"/>
    </row>
    <row r="297" spans="1:11" x14ac:dyDescent="0.3">
      <c r="A297" s="2" t="s">
        <v>350</v>
      </c>
      <c r="B297" s="2" t="s">
        <v>346</v>
      </c>
      <c r="C297" s="2" t="s">
        <v>30</v>
      </c>
      <c r="D297" s="11">
        <f>Names!$F$14</f>
        <v>0</v>
      </c>
      <c r="E297" s="2" t="str">
        <f t="shared" si="16"/>
        <v/>
      </c>
      <c r="F297" s="11">
        <f t="shared" si="17"/>
        <v>0</v>
      </c>
      <c r="G297" s="11">
        <f>Concentrations!$F$14</f>
        <v>0</v>
      </c>
      <c r="H297" s="2" t="str">
        <f t="shared" si="19"/>
        <v>µM</v>
      </c>
      <c r="I297" s="2" cm="1">
        <f t="array" aca="1" ref="I297" ca="1">IF(MOD(COLUMN(INDIRECT(B297&amp;1)),2)=1,IF(MOD(C297,2)=1,$F$1,$F$2),IF(MOD(C297,2)=1,$H$1,$H$2))</f>
        <v>0</v>
      </c>
      <c r="J297" s="16"/>
      <c r="K297" s="5"/>
    </row>
    <row r="298" spans="1:11" x14ac:dyDescent="0.3">
      <c r="A298" s="2" t="s">
        <v>351</v>
      </c>
      <c r="B298" s="2" t="s">
        <v>346</v>
      </c>
      <c r="C298" s="2" t="s">
        <v>32</v>
      </c>
      <c r="D298" s="11">
        <f>Names!$G$14</f>
        <v>0</v>
      </c>
      <c r="E298" s="2" t="str">
        <f t="shared" si="16"/>
        <v/>
      </c>
      <c r="F298" s="11">
        <f t="shared" si="17"/>
        <v>0</v>
      </c>
      <c r="G298" s="11">
        <f>Concentrations!$G$14</f>
        <v>0</v>
      </c>
      <c r="H298" s="2" t="str">
        <f t="shared" si="19"/>
        <v>µM</v>
      </c>
      <c r="I298" s="2" cm="1">
        <f t="array" aca="1" ref="I298" ca="1">IF(MOD(COLUMN(INDIRECT(B298&amp;1)),2)=1,IF(MOD(C298,2)=1,$F$1,$F$2),IF(MOD(C298,2)=1,$H$1,$H$2))</f>
        <v>0</v>
      </c>
      <c r="J298" s="16"/>
      <c r="K298" s="5"/>
    </row>
    <row r="299" spans="1:11" x14ac:dyDescent="0.3">
      <c r="A299" s="2" t="s">
        <v>352</v>
      </c>
      <c r="B299" s="2" t="s">
        <v>346</v>
      </c>
      <c r="C299" s="2" t="s">
        <v>34</v>
      </c>
      <c r="D299" s="11">
        <f>Names!$H$14</f>
        <v>0</v>
      </c>
      <c r="E299" s="2" t="str">
        <f t="shared" si="16"/>
        <v/>
      </c>
      <c r="F299" s="11">
        <f t="shared" si="17"/>
        <v>0</v>
      </c>
      <c r="G299" s="11">
        <f>Concentrations!$H$14</f>
        <v>0</v>
      </c>
      <c r="H299" s="2" t="str">
        <f t="shared" si="19"/>
        <v>µM</v>
      </c>
      <c r="I299" s="2" cm="1">
        <f t="array" aca="1" ref="I299" ca="1">IF(MOD(COLUMN(INDIRECT(B299&amp;1)),2)=1,IF(MOD(C299,2)=1,$F$1,$F$2),IF(MOD(C299,2)=1,$H$1,$H$2))</f>
        <v>0</v>
      </c>
      <c r="J299" s="16"/>
      <c r="K299" s="5"/>
    </row>
    <row r="300" spans="1:11" x14ac:dyDescent="0.3">
      <c r="A300" s="2" t="s">
        <v>353</v>
      </c>
      <c r="B300" s="2" t="s">
        <v>346</v>
      </c>
      <c r="C300" s="2" t="s">
        <v>36</v>
      </c>
      <c r="D300" s="11">
        <f>Names!$I$14</f>
        <v>0</v>
      </c>
      <c r="E300" s="2" t="str">
        <f t="shared" si="16"/>
        <v/>
      </c>
      <c r="F300" s="11">
        <f t="shared" si="17"/>
        <v>0</v>
      </c>
      <c r="G300" s="11">
        <f>Concentrations!$I$14</f>
        <v>0</v>
      </c>
      <c r="H300" s="2" t="str">
        <f t="shared" si="19"/>
        <v>µM</v>
      </c>
      <c r="I300" s="2" cm="1">
        <f t="array" aca="1" ref="I300" ca="1">IF(MOD(COLUMN(INDIRECT(B300&amp;1)),2)=1,IF(MOD(C300,2)=1,$F$1,$F$2),IF(MOD(C300,2)=1,$H$1,$H$2))</f>
        <v>0</v>
      </c>
      <c r="J300" s="16"/>
      <c r="K300" s="5"/>
    </row>
    <row r="301" spans="1:11" x14ac:dyDescent="0.3">
      <c r="A301" s="2" t="s">
        <v>354</v>
      </c>
      <c r="B301" s="2" t="s">
        <v>346</v>
      </c>
      <c r="C301" s="2" t="s">
        <v>38</v>
      </c>
      <c r="D301" s="11">
        <f>Names!$J$14</f>
        <v>0</v>
      </c>
      <c r="E301" s="2" t="str">
        <f t="shared" si="16"/>
        <v/>
      </c>
      <c r="F301" s="11">
        <f t="shared" si="17"/>
        <v>0</v>
      </c>
      <c r="G301" s="11">
        <f>Concentrations!$J$14</f>
        <v>0</v>
      </c>
      <c r="H301" s="2" t="str">
        <f t="shared" si="19"/>
        <v>µM</v>
      </c>
      <c r="I301" s="2" cm="1">
        <f t="array" aca="1" ref="I301" ca="1">IF(MOD(COLUMN(INDIRECT(B301&amp;1)),2)=1,IF(MOD(C301,2)=1,$F$1,$F$2),IF(MOD(C301,2)=1,$H$1,$H$2))</f>
        <v>0</v>
      </c>
      <c r="J301" s="16"/>
      <c r="K301" s="5"/>
    </row>
    <row r="302" spans="1:11" x14ac:dyDescent="0.3">
      <c r="A302" s="2" t="s">
        <v>355</v>
      </c>
      <c r="B302" s="2" t="s">
        <v>346</v>
      </c>
      <c r="C302" s="2" t="s">
        <v>40</v>
      </c>
      <c r="D302" s="11">
        <f>Names!$K$14</f>
        <v>0</v>
      </c>
      <c r="E302" s="2" t="str">
        <f t="shared" si="16"/>
        <v/>
      </c>
      <c r="F302" s="11">
        <f t="shared" si="17"/>
        <v>0</v>
      </c>
      <c r="G302" s="11">
        <f>Concentrations!$K$14</f>
        <v>0</v>
      </c>
      <c r="H302" s="2" t="str">
        <f t="shared" si="19"/>
        <v>µM</v>
      </c>
      <c r="I302" s="2" cm="1">
        <f t="array" aca="1" ref="I302" ca="1">IF(MOD(COLUMN(INDIRECT(B302&amp;1)),2)=1,IF(MOD(C302,2)=1,$F$1,$F$2),IF(MOD(C302,2)=1,$H$1,$H$2))</f>
        <v>0</v>
      </c>
      <c r="J302" s="16"/>
      <c r="K302" s="5"/>
    </row>
    <row r="303" spans="1:11" x14ac:dyDescent="0.3">
      <c r="A303" s="2" t="s">
        <v>356</v>
      </c>
      <c r="B303" s="2" t="s">
        <v>346</v>
      </c>
      <c r="C303" s="2" t="s">
        <v>42</v>
      </c>
      <c r="D303" s="11">
        <f>Names!$L$14</f>
        <v>0</v>
      </c>
      <c r="E303" s="2" t="str">
        <f t="shared" si="16"/>
        <v/>
      </c>
      <c r="F303" s="11">
        <f t="shared" si="17"/>
        <v>0</v>
      </c>
      <c r="G303" s="11">
        <f>Concentrations!$L$14</f>
        <v>0</v>
      </c>
      <c r="H303" s="2" t="str">
        <f t="shared" si="19"/>
        <v>µM</v>
      </c>
      <c r="I303" s="2" cm="1">
        <f t="array" aca="1" ref="I303" ca="1">IF(MOD(COLUMN(INDIRECT(B303&amp;1)),2)=1,IF(MOD(C303,2)=1,$F$1,$F$2),IF(MOD(C303,2)=1,$H$1,$H$2))</f>
        <v>0</v>
      </c>
      <c r="J303" s="16"/>
      <c r="K303" s="5"/>
    </row>
    <row r="304" spans="1:11" x14ac:dyDescent="0.3">
      <c r="A304" s="2" t="s">
        <v>357</v>
      </c>
      <c r="B304" s="2" t="s">
        <v>346</v>
      </c>
      <c r="C304" s="2" t="s">
        <v>44</v>
      </c>
      <c r="D304" s="11">
        <f>Names!$M$14</f>
        <v>0</v>
      </c>
      <c r="E304" s="2" t="str">
        <f t="shared" si="16"/>
        <v/>
      </c>
      <c r="F304" s="11">
        <f t="shared" si="17"/>
        <v>0</v>
      </c>
      <c r="G304" s="11">
        <f>Concentrations!$M$14</f>
        <v>0</v>
      </c>
      <c r="H304" s="2" t="str">
        <f t="shared" si="19"/>
        <v>µM</v>
      </c>
      <c r="I304" s="2" cm="1">
        <f t="array" aca="1" ref="I304" ca="1">IF(MOD(COLUMN(INDIRECT(B304&amp;1)),2)=1,IF(MOD(C304,2)=1,$F$1,$F$2),IF(MOD(C304,2)=1,$H$1,$H$2))</f>
        <v>0</v>
      </c>
      <c r="J304" s="16"/>
      <c r="K304" s="5"/>
    </row>
    <row r="305" spans="1:11" x14ac:dyDescent="0.3">
      <c r="A305" s="2" t="s">
        <v>358</v>
      </c>
      <c r="B305" s="2" t="s">
        <v>346</v>
      </c>
      <c r="C305" s="2" t="s">
        <v>46</v>
      </c>
      <c r="D305" s="11">
        <f>Names!$N$14</f>
        <v>0</v>
      </c>
      <c r="E305" s="2" t="str">
        <f t="shared" si="16"/>
        <v/>
      </c>
      <c r="F305" s="11">
        <f t="shared" si="17"/>
        <v>0</v>
      </c>
      <c r="G305" s="11">
        <f>Concentrations!$N$14</f>
        <v>0</v>
      </c>
      <c r="H305" s="2" t="str">
        <f t="shared" si="19"/>
        <v>µM</v>
      </c>
      <c r="I305" s="2" cm="1">
        <f t="array" aca="1" ref="I305" ca="1">IF(MOD(COLUMN(INDIRECT(B305&amp;1)),2)=1,IF(MOD(C305,2)=1,$F$1,$F$2),IF(MOD(C305,2)=1,$H$1,$H$2))</f>
        <v>0</v>
      </c>
      <c r="J305" s="16"/>
      <c r="K305" s="5"/>
    </row>
    <row r="306" spans="1:11" x14ac:dyDescent="0.3">
      <c r="A306" s="2" t="s">
        <v>359</v>
      </c>
      <c r="B306" s="2" t="s">
        <v>346</v>
      </c>
      <c r="C306" s="2" t="s">
        <v>48</v>
      </c>
      <c r="D306" s="11">
        <f>Names!$O$14</f>
        <v>0</v>
      </c>
      <c r="E306" s="2" t="str">
        <f t="shared" si="16"/>
        <v/>
      </c>
      <c r="F306" s="11">
        <f t="shared" si="17"/>
        <v>0</v>
      </c>
      <c r="G306" s="11">
        <f>Concentrations!$O$14</f>
        <v>0</v>
      </c>
      <c r="H306" s="2" t="str">
        <f t="shared" si="19"/>
        <v>µM</v>
      </c>
      <c r="I306" s="2" cm="1">
        <f t="array" aca="1" ref="I306" ca="1">IF(MOD(COLUMN(INDIRECT(B306&amp;1)),2)=1,IF(MOD(C306,2)=1,$F$1,$F$2),IF(MOD(C306,2)=1,$H$1,$H$2))</f>
        <v>0</v>
      </c>
      <c r="J306" s="16"/>
      <c r="K306" s="5"/>
    </row>
    <row r="307" spans="1:11" x14ac:dyDescent="0.3">
      <c r="A307" s="2" t="s">
        <v>360</v>
      </c>
      <c r="B307" s="2" t="s">
        <v>346</v>
      </c>
      <c r="C307" s="2" t="s">
        <v>50</v>
      </c>
      <c r="D307" s="11">
        <f>Names!$P$14</f>
        <v>0</v>
      </c>
      <c r="E307" s="2" t="str">
        <f t="shared" si="16"/>
        <v/>
      </c>
      <c r="F307" s="11">
        <f t="shared" si="17"/>
        <v>0</v>
      </c>
      <c r="G307" s="11">
        <f>Concentrations!$P$14</f>
        <v>0</v>
      </c>
      <c r="H307" s="2" t="str">
        <f t="shared" si="19"/>
        <v>µM</v>
      </c>
      <c r="I307" s="2" cm="1">
        <f t="array" aca="1" ref="I307" ca="1">IF(MOD(COLUMN(INDIRECT(B307&amp;1)),2)=1,IF(MOD(C307,2)=1,$F$1,$F$2),IF(MOD(C307,2)=1,$H$1,$H$2))</f>
        <v>0</v>
      </c>
      <c r="J307" s="16"/>
      <c r="K307" s="5"/>
    </row>
    <row r="308" spans="1:11" x14ac:dyDescent="0.3">
      <c r="A308" s="2" t="s">
        <v>361</v>
      </c>
      <c r="B308" s="2" t="s">
        <v>346</v>
      </c>
      <c r="C308" s="2" t="s">
        <v>52</v>
      </c>
      <c r="D308" s="11">
        <f>Names!$Q$14</f>
        <v>0</v>
      </c>
      <c r="E308" s="2" t="str">
        <f t="shared" si="16"/>
        <v/>
      </c>
      <c r="F308" s="11">
        <f t="shared" si="17"/>
        <v>0</v>
      </c>
      <c r="G308" s="11">
        <f>Concentrations!$Q$14</f>
        <v>0</v>
      </c>
      <c r="H308" s="2" t="str">
        <f t="shared" si="19"/>
        <v>µM</v>
      </c>
      <c r="I308" s="2" cm="1">
        <f t="array" aca="1" ref="I308" ca="1">IF(MOD(COLUMN(INDIRECT(B308&amp;1)),2)=1,IF(MOD(C308,2)=1,$F$1,$F$2),IF(MOD(C308,2)=1,$H$1,$H$2))</f>
        <v>0</v>
      </c>
      <c r="J308" s="16"/>
      <c r="K308" s="5"/>
    </row>
    <row r="309" spans="1:11" x14ac:dyDescent="0.3">
      <c r="A309" s="2" t="s">
        <v>362</v>
      </c>
      <c r="B309" s="2" t="s">
        <v>346</v>
      </c>
      <c r="C309" s="2" t="s">
        <v>54</v>
      </c>
      <c r="D309" s="11">
        <f>Names!$R$14</f>
        <v>0</v>
      </c>
      <c r="E309" s="2" t="str">
        <f t="shared" si="16"/>
        <v/>
      </c>
      <c r="F309" s="11">
        <f t="shared" si="17"/>
        <v>0</v>
      </c>
      <c r="G309" s="11">
        <f>Concentrations!$R$14</f>
        <v>0</v>
      </c>
      <c r="H309" s="2" t="str">
        <f t="shared" si="19"/>
        <v>µM</v>
      </c>
      <c r="I309" s="2" cm="1">
        <f t="array" aca="1" ref="I309" ca="1">IF(MOD(COLUMN(INDIRECT(B309&amp;1)),2)=1,IF(MOD(C309,2)=1,$F$1,$F$2),IF(MOD(C309,2)=1,$H$1,$H$2))</f>
        <v>0</v>
      </c>
      <c r="J309" s="16"/>
      <c r="K309" s="5"/>
    </row>
    <row r="310" spans="1:11" x14ac:dyDescent="0.3">
      <c r="A310" s="2" t="s">
        <v>363</v>
      </c>
      <c r="B310" s="2" t="s">
        <v>346</v>
      </c>
      <c r="C310" s="2" t="s">
        <v>56</v>
      </c>
      <c r="D310" s="11">
        <f>Names!$S$14</f>
        <v>0</v>
      </c>
      <c r="E310" s="2" t="str">
        <f t="shared" si="16"/>
        <v/>
      </c>
      <c r="F310" s="11">
        <f t="shared" si="17"/>
        <v>0</v>
      </c>
      <c r="G310" s="11">
        <f>Concentrations!$S$14</f>
        <v>0</v>
      </c>
      <c r="H310" s="2" t="str">
        <f t="shared" si="19"/>
        <v>µM</v>
      </c>
      <c r="I310" s="2" cm="1">
        <f t="array" aca="1" ref="I310" ca="1">IF(MOD(COLUMN(INDIRECT(B310&amp;1)),2)=1,IF(MOD(C310,2)=1,$F$1,$F$2),IF(MOD(C310,2)=1,$H$1,$H$2))</f>
        <v>0</v>
      </c>
      <c r="J310" s="16"/>
      <c r="K310" s="5"/>
    </row>
    <row r="311" spans="1:11" x14ac:dyDescent="0.3">
      <c r="A311" s="2" t="s">
        <v>364</v>
      </c>
      <c r="B311" s="2" t="s">
        <v>346</v>
      </c>
      <c r="C311" s="2" t="s">
        <v>58</v>
      </c>
      <c r="D311" s="11">
        <f>Names!$T$14</f>
        <v>0</v>
      </c>
      <c r="E311" s="2" t="str">
        <f t="shared" si="16"/>
        <v/>
      </c>
      <c r="F311" s="11">
        <f t="shared" si="17"/>
        <v>0</v>
      </c>
      <c r="G311" s="11">
        <f>Concentrations!$T$14</f>
        <v>0</v>
      </c>
      <c r="H311" s="2" t="str">
        <f t="shared" si="19"/>
        <v>µM</v>
      </c>
      <c r="I311" s="2" cm="1">
        <f t="array" aca="1" ref="I311" ca="1">IF(MOD(COLUMN(INDIRECT(B311&amp;1)),2)=1,IF(MOD(C311,2)=1,$F$1,$F$2),IF(MOD(C311,2)=1,$H$1,$H$2))</f>
        <v>0</v>
      </c>
      <c r="J311" s="16"/>
      <c r="K311" s="5"/>
    </row>
    <row r="312" spans="1:11" x14ac:dyDescent="0.3">
      <c r="A312" s="2" t="s">
        <v>365</v>
      </c>
      <c r="B312" s="2" t="s">
        <v>346</v>
      </c>
      <c r="C312" s="2" t="s">
        <v>60</v>
      </c>
      <c r="D312" s="11">
        <f>Names!$U$14</f>
        <v>0</v>
      </c>
      <c r="E312" s="2" t="str">
        <f t="shared" si="16"/>
        <v/>
      </c>
      <c r="F312" s="11">
        <f t="shared" si="17"/>
        <v>0</v>
      </c>
      <c r="G312" s="11">
        <f>Concentrations!$U$14</f>
        <v>0</v>
      </c>
      <c r="H312" s="2" t="str">
        <f t="shared" si="19"/>
        <v>µM</v>
      </c>
      <c r="I312" s="2" cm="1">
        <f t="array" aca="1" ref="I312" ca="1">IF(MOD(COLUMN(INDIRECT(B312&amp;1)),2)=1,IF(MOD(C312,2)=1,$F$1,$F$2),IF(MOD(C312,2)=1,$H$1,$H$2))</f>
        <v>0</v>
      </c>
      <c r="J312" s="16"/>
      <c r="K312" s="5"/>
    </row>
    <row r="313" spans="1:11" x14ac:dyDescent="0.3">
      <c r="A313" s="2" t="s">
        <v>366</v>
      </c>
      <c r="B313" s="2" t="s">
        <v>346</v>
      </c>
      <c r="C313" s="2" t="s">
        <v>62</v>
      </c>
      <c r="D313" s="11">
        <f>Names!$V$14</f>
        <v>0</v>
      </c>
      <c r="E313" s="2" t="str">
        <f t="shared" si="16"/>
        <v/>
      </c>
      <c r="F313" s="11">
        <f t="shared" si="17"/>
        <v>0</v>
      </c>
      <c r="G313" s="11">
        <f>Concentrations!$V$14</f>
        <v>0</v>
      </c>
      <c r="H313" s="2" t="str">
        <f t="shared" si="19"/>
        <v>µM</v>
      </c>
      <c r="I313" s="2" cm="1">
        <f t="array" aca="1" ref="I313" ca="1">IF(MOD(COLUMN(INDIRECT(B313&amp;1)),2)=1,IF(MOD(C313,2)=1,$F$1,$F$2),IF(MOD(C313,2)=1,$H$1,$H$2))</f>
        <v>0</v>
      </c>
      <c r="J313" s="16"/>
      <c r="K313" s="5"/>
    </row>
    <row r="314" spans="1:11" x14ac:dyDescent="0.3">
      <c r="A314" s="2" t="s">
        <v>367</v>
      </c>
      <c r="B314" s="2" t="s">
        <v>346</v>
      </c>
      <c r="C314" s="2" t="s">
        <v>64</v>
      </c>
      <c r="D314" s="11">
        <f>Names!$W$14</f>
        <v>0</v>
      </c>
      <c r="E314" s="2" t="str">
        <f t="shared" si="16"/>
        <v/>
      </c>
      <c r="F314" s="11">
        <f t="shared" si="17"/>
        <v>0</v>
      </c>
      <c r="G314" s="11">
        <f>Concentrations!$W$14</f>
        <v>0</v>
      </c>
      <c r="H314" s="2" t="str">
        <f t="shared" si="19"/>
        <v>µM</v>
      </c>
      <c r="I314" s="2" cm="1">
        <f t="array" aca="1" ref="I314" ca="1">IF(MOD(COLUMN(INDIRECT(B314&amp;1)),2)=1,IF(MOD(C314,2)=1,$F$1,$F$2),IF(MOD(C314,2)=1,$H$1,$H$2))</f>
        <v>0</v>
      </c>
      <c r="J314" s="16"/>
      <c r="K314" s="5"/>
    </row>
    <row r="315" spans="1:11" x14ac:dyDescent="0.3">
      <c r="A315" s="2" t="s">
        <v>368</v>
      </c>
      <c r="B315" s="2" t="s">
        <v>346</v>
      </c>
      <c r="C315" s="2" t="s">
        <v>66</v>
      </c>
      <c r="D315" s="11" t="str">
        <f>Names!$X$14</f>
        <v>DMSO</v>
      </c>
      <c r="E315" s="2" t="str">
        <f t="shared" si="16"/>
        <v/>
      </c>
      <c r="F315" s="11" t="str">
        <f t="shared" si="17"/>
        <v>DMSO</v>
      </c>
      <c r="G315" s="11">
        <f>Concentrations!$X$14</f>
        <v>0</v>
      </c>
      <c r="H315" s="2" t="str">
        <f t="shared" si="19"/>
        <v>µM</v>
      </c>
      <c r="I315" s="2" cm="1">
        <f t="array" aca="1" ref="I315" ca="1">IF(MOD(COLUMN(INDIRECT(B315&amp;1)),2)=1,IF(MOD(C315,2)=1,$F$1,$F$2),IF(MOD(C315,2)=1,$H$1,$H$2))</f>
        <v>0</v>
      </c>
      <c r="J315" s="16"/>
      <c r="K315" s="5"/>
    </row>
    <row r="316" spans="1:11" x14ac:dyDescent="0.3">
      <c r="A316" s="2" t="s">
        <v>369</v>
      </c>
      <c r="B316" s="2" t="s">
        <v>346</v>
      </c>
      <c r="C316" s="2" t="s">
        <v>68</v>
      </c>
      <c r="D316" s="11" t="str">
        <f>Names!$Y$14</f>
        <v>DMSO</v>
      </c>
      <c r="E316" s="2" t="str">
        <f t="shared" si="16"/>
        <v/>
      </c>
      <c r="F316" s="11" t="str">
        <f t="shared" si="17"/>
        <v>DMSO</v>
      </c>
      <c r="G316" s="11">
        <f>Concentrations!$Y$14</f>
        <v>0</v>
      </c>
      <c r="H316" s="2" t="str">
        <f t="shared" si="19"/>
        <v>µM</v>
      </c>
      <c r="I316" s="2" cm="1">
        <f t="array" aca="1" ref="I316" ca="1">IF(MOD(COLUMN(INDIRECT(B316&amp;1)),2)=1,IF(MOD(C316,2)=1,$F$1,$F$2),IF(MOD(C316,2)=1,$H$1,$H$2))</f>
        <v>0</v>
      </c>
      <c r="J316" s="16"/>
      <c r="K316" s="5"/>
    </row>
    <row r="317" spans="1:11" x14ac:dyDescent="0.3">
      <c r="A317" s="2" t="s">
        <v>370</v>
      </c>
      <c r="B317" s="2" t="s">
        <v>371</v>
      </c>
      <c r="C317" s="2" t="s">
        <v>21</v>
      </c>
      <c r="D317" s="11" t="str">
        <f>Names!$B$15</f>
        <v>Repaglinide</v>
      </c>
      <c r="E317" s="2" t="str">
        <f t="shared" si="16"/>
        <v/>
      </c>
      <c r="F317" s="11" t="str">
        <f t="shared" si="17"/>
        <v>Repaglinide</v>
      </c>
      <c r="G317" s="11">
        <f>Concentrations!$B$15</f>
        <v>1</v>
      </c>
      <c r="H317" s="2" t="s">
        <v>122</v>
      </c>
      <c r="I317" s="2" cm="1">
        <f t="array" aca="1" ref="I317" ca="1">IF(MOD(COLUMN(INDIRECT(B317&amp;1)),2)=1,IF(MOD(C317,2)=1,$F$1,$F$2),IF(MOD(C317,2)=1,$H$1,$H$2))</f>
        <v>0</v>
      </c>
      <c r="J317" s="16"/>
      <c r="K317" s="5"/>
    </row>
    <row r="318" spans="1:11" x14ac:dyDescent="0.3">
      <c r="A318" s="2" t="s">
        <v>372</v>
      </c>
      <c r="B318" s="2" t="s">
        <v>371</v>
      </c>
      <c r="C318" s="2" t="s">
        <v>24</v>
      </c>
      <c r="D318" s="11" t="str">
        <f>Names!$C$15</f>
        <v>Parbendazol</v>
      </c>
      <c r="E318" s="2" t="str">
        <f t="shared" si="16"/>
        <v/>
      </c>
      <c r="F318" s="11" t="str">
        <f t="shared" si="17"/>
        <v>Parbendazol</v>
      </c>
      <c r="G318" s="11">
        <f>Concentrations!$C$15</f>
        <v>0.3</v>
      </c>
      <c r="H318" s="2" t="s">
        <v>122</v>
      </c>
      <c r="I318" s="2" cm="1">
        <f t="array" aca="1" ref="I318" ca="1">IF(MOD(COLUMN(INDIRECT(B318&amp;1)),2)=1,IF(MOD(C318,2)=1,$F$1,$F$2),IF(MOD(C318,2)=1,$H$1,$H$2))</f>
        <v>0</v>
      </c>
      <c r="J318" s="16"/>
      <c r="K318" s="5"/>
    </row>
    <row r="319" spans="1:11" x14ac:dyDescent="0.3">
      <c r="A319" s="2" t="s">
        <v>373</v>
      </c>
      <c r="B319" s="2" t="s">
        <v>371</v>
      </c>
      <c r="C319" s="2" t="s">
        <v>26</v>
      </c>
      <c r="D319" s="11">
        <f>Names!$D$15</f>
        <v>0</v>
      </c>
      <c r="E319" s="2" t="str">
        <f t="shared" si="16"/>
        <v/>
      </c>
      <c r="F319" s="11">
        <f t="shared" si="17"/>
        <v>0</v>
      </c>
      <c r="G319" s="11">
        <f>Concentrations!$D$15</f>
        <v>0</v>
      </c>
      <c r="H319" s="2" t="s">
        <v>122</v>
      </c>
      <c r="I319" s="2" cm="1">
        <f t="array" aca="1" ref="I319" ca="1">IF(MOD(COLUMN(INDIRECT(B319&amp;1)),2)=1,IF(MOD(C319,2)=1,$F$1,$F$2),IF(MOD(C319,2)=1,$H$1,$H$2))</f>
        <v>0</v>
      </c>
      <c r="J319" s="16"/>
      <c r="K319" s="5"/>
    </row>
    <row r="320" spans="1:11" x14ac:dyDescent="0.3">
      <c r="A320" s="2" t="s">
        <v>374</v>
      </c>
      <c r="B320" s="2" t="s">
        <v>371</v>
      </c>
      <c r="C320" s="2" t="s">
        <v>28</v>
      </c>
      <c r="D320" s="11">
        <f>Names!$E$15</f>
        <v>0</v>
      </c>
      <c r="E320" s="2" t="str">
        <f t="shared" si="16"/>
        <v/>
      </c>
      <c r="F320" s="11">
        <f t="shared" si="17"/>
        <v>0</v>
      </c>
      <c r="G320" s="11">
        <f>Concentrations!$E$15</f>
        <v>0</v>
      </c>
      <c r="H320" s="2" t="s">
        <v>122</v>
      </c>
      <c r="I320" s="2" cm="1">
        <f t="array" aca="1" ref="I320" ca="1">IF(MOD(COLUMN(INDIRECT(B320&amp;1)),2)=1,IF(MOD(C320,2)=1,$F$1,$F$2),IF(MOD(C320,2)=1,$H$1,$H$2))</f>
        <v>0</v>
      </c>
      <c r="J320" s="16"/>
      <c r="K320" s="5"/>
    </row>
    <row r="321" spans="1:11" x14ac:dyDescent="0.3">
      <c r="A321" s="2" t="s">
        <v>375</v>
      </c>
      <c r="B321" s="2" t="s">
        <v>371</v>
      </c>
      <c r="C321" s="2" t="s">
        <v>30</v>
      </c>
      <c r="D321" s="11">
        <f>Names!$F$15</f>
        <v>0</v>
      </c>
      <c r="E321" s="2" t="str">
        <f t="shared" si="16"/>
        <v/>
      </c>
      <c r="F321" s="11">
        <f t="shared" si="17"/>
        <v>0</v>
      </c>
      <c r="G321" s="11">
        <f>Concentrations!$F$15</f>
        <v>0</v>
      </c>
      <c r="H321" s="2" t="s">
        <v>122</v>
      </c>
      <c r="I321" s="2" cm="1">
        <f t="array" aca="1" ref="I321" ca="1">IF(MOD(COLUMN(INDIRECT(B321&amp;1)),2)=1,IF(MOD(C321,2)=1,$F$1,$F$2),IF(MOD(C321,2)=1,$H$1,$H$2))</f>
        <v>0</v>
      </c>
      <c r="J321" s="16"/>
      <c r="K321" s="5"/>
    </row>
    <row r="322" spans="1:11" x14ac:dyDescent="0.3">
      <c r="A322" s="2" t="s">
        <v>376</v>
      </c>
      <c r="B322" s="2" t="s">
        <v>371</v>
      </c>
      <c r="C322" s="2" t="s">
        <v>32</v>
      </c>
      <c r="D322" s="11">
        <f>Names!$G$15</f>
        <v>0</v>
      </c>
      <c r="E322" s="2" t="str">
        <f t="shared" si="16"/>
        <v/>
      </c>
      <c r="F322" s="11">
        <f t="shared" si="17"/>
        <v>0</v>
      </c>
      <c r="G322" s="11">
        <f>Concentrations!$G$15</f>
        <v>0</v>
      </c>
      <c r="H322" s="2" t="s">
        <v>122</v>
      </c>
      <c r="I322" s="2" cm="1">
        <f t="array" aca="1" ref="I322" ca="1">IF(MOD(COLUMN(INDIRECT(B322&amp;1)),2)=1,IF(MOD(C322,2)=1,$F$1,$F$2),IF(MOD(C322,2)=1,$H$1,$H$2))</f>
        <v>0</v>
      </c>
      <c r="J322" s="16"/>
      <c r="K322" s="5"/>
    </row>
    <row r="323" spans="1:11" x14ac:dyDescent="0.3">
      <c r="A323" s="2" t="s">
        <v>377</v>
      </c>
      <c r="B323" s="2" t="s">
        <v>371</v>
      </c>
      <c r="C323" s="2" t="s">
        <v>34</v>
      </c>
      <c r="D323" s="11">
        <f>Names!$H$15</f>
        <v>0</v>
      </c>
      <c r="E323" s="2" t="str">
        <f t="shared" si="16"/>
        <v/>
      </c>
      <c r="F323" s="11">
        <f t="shared" si="17"/>
        <v>0</v>
      </c>
      <c r="G323" s="11">
        <f>Concentrations!$H$15</f>
        <v>0</v>
      </c>
      <c r="H323" s="2" t="s">
        <v>122</v>
      </c>
      <c r="I323" s="2" cm="1">
        <f t="array" aca="1" ref="I323" ca="1">IF(MOD(COLUMN(INDIRECT(B323&amp;1)),2)=1,IF(MOD(C323,2)=1,$F$1,$F$2),IF(MOD(C323,2)=1,$H$1,$H$2))</f>
        <v>0</v>
      </c>
      <c r="J323" s="16"/>
      <c r="K323" s="5"/>
    </row>
    <row r="324" spans="1:11" x14ac:dyDescent="0.3">
      <c r="A324" s="2" t="s">
        <v>378</v>
      </c>
      <c r="B324" s="2" t="s">
        <v>371</v>
      </c>
      <c r="C324" s="2" t="s">
        <v>36</v>
      </c>
      <c r="D324" s="11">
        <f>Names!$I$15</f>
        <v>0</v>
      </c>
      <c r="E324" s="2" t="str">
        <f t="shared" si="16"/>
        <v/>
      </c>
      <c r="F324" s="11">
        <f t="shared" si="17"/>
        <v>0</v>
      </c>
      <c r="G324" s="11">
        <f>Concentrations!$I$15</f>
        <v>0</v>
      </c>
      <c r="H324" s="2" t="s">
        <v>122</v>
      </c>
      <c r="I324" s="2" cm="1">
        <f t="array" aca="1" ref="I324" ca="1">IF(MOD(COLUMN(INDIRECT(B324&amp;1)),2)=1,IF(MOD(C324,2)=1,$F$1,$F$2),IF(MOD(C324,2)=1,$H$1,$H$2))</f>
        <v>0</v>
      </c>
      <c r="J324" s="16"/>
      <c r="K324" s="5"/>
    </row>
    <row r="325" spans="1:11" x14ac:dyDescent="0.3">
      <c r="A325" s="2" t="s">
        <v>379</v>
      </c>
      <c r="B325" s="2" t="s">
        <v>371</v>
      </c>
      <c r="C325" s="2" t="s">
        <v>38</v>
      </c>
      <c r="D325" s="11">
        <f>Names!$J$15</f>
        <v>0</v>
      </c>
      <c r="E325" s="2" t="str">
        <f t="shared" ref="E325:E366" si="20">IF(LEFT(D325,2)="KC",IF(_xlfn.CEILING.MATH(C325/2)-2&lt;1,"",_xlfn.CEILING.MATH(C325/2)-2),"")</f>
        <v/>
      </c>
      <c r="F325" s="11">
        <f t="shared" ref="F325:F366" si="21">IF(E325="",D325,_xlfn.CONCAT(D325,"_",E325))</f>
        <v>0</v>
      </c>
      <c r="G325" s="11">
        <f>Concentrations!$J$15</f>
        <v>0</v>
      </c>
      <c r="H325" s="2" t="s">
        <v>122</v>
      </c>
      <c r="I325" s="2" cm="1">
        <f t="array" aca="1" ref="I325" ca="1">IF(MOD(COLUMN(INDIRECT(B325&amp;1)),2)=1,IF(MOD(C325,2)=1,$F$1,$F$2),IF(MOD(C325,2)=1,$H$1,$H$2))</f>
        <v>0</v>
      </c>
      <c r="J325" s="16"/>
      <c r="K325" s="5"/>
    </row>
    <row r="326" spans="1:11" x14ac:dyDescent="0.3">
      <c r="A326" s="2" t="s">
        <v>380</v>
      </c>
      <c r="B326" s="2" t="s">
        <v>371</v>
      </c>
      <c r="C326" s="2" t="s">
        <v>40</v>
      </c>
      <c r="D326" s="11">
        <f>Names!$K$15</f>
        <v>0</v>
      </c>
      <c r="E326" s="2" t="str">
        <f t="shared" si="20"/>
        <v/>
      </c>
      <c r="F326" s="11">
        <f t="shared" si="21"/>
        <v>0</v>
      </c>
      <c r="G326" s="11">
        <f>Concentrations!$K$15</f>
        <v>0</v>
      </c>
      <c r="H326" s="2" t="s">
        <v>122</v>
      </c>
      <c r="I326" s="2" cm="1">
        <f t="array" aca="1" ref="I326" ca="1">IF(MOD(COLUMN(INDIRECT(B326&amp;1)),2)=1,IF(MOD(C326,2)=1,$F$1,$F$2),IF(MOD(C326,2)=1,$H$1,$H$2))</f>
        <v>0</v>
      </c>
      <c r="J326" s="16"/>
      <c r="K326" s="5"/>
    </row>
    <row r="327" spans="1:11" x14ac:dyDescent="0.3">
      <c r="A327" s="2" t="s">
        <v>381</v>
      </c>
      <c r="B327" s="2" t="s">
        <v>371</v>
      </c>
      <c r="C327" s="2" t="s">
        <v>42</v>
      </c>
      <c r="D327" s="11">
        <f>Names!$L$15</f>
        <v>0</v>
      </c>
      <c r="E327" s="2" t="str">
        <f t="shared" si="20"/>
        <v/>
      </c>
      <c r="F327" s="11">
        <f t="shared" si="21"/>
        <v>0</v>
      </c>
      <c r="G327" s="11">
        <f>Concentrations!$L$15</f>
        <v>0</v>
      </c>
      <c r="H327" s="2" t="s">
        <v>122</v>
      </c>
      <c r="I327" s="2" cm="1">
        <f t="array" aca="1" ref="I327" ca="1">IF(MOD(COLUMN(INDIRECT(B327&amp;1)),2)=1,IF(MOD(C327,2)=1,$F$1,$F$2),IF(MOD(C327,2)=1,$H$1,$H$2))</f>
        <v>0</v>
      </c>
      <c r="J327" s="16"/>
      <c r="K327" s="5"/>
    </row>
    <row r="328" spans="1:11" x14ac:dyDescent="0.3">
      <c r="A328" s="2" t="s">
        <v>382</v>
      </c>
      <c r="B328" s="2" t="s">
        <v>371</v>
      </c>
      <c r="C328" s="2" t="s">
        <v>44</v>
      </c>
      <c r="D328" s="11">
        <f>Names!$M$15</f>
        <v>0</v>
      </c>
      <c r="E328" s="2" t="str">
        <f t="shared" si="20"/>
        <v/>
      </c>
      <c r="F328" s="11">
        <f t="shared" si="21"/>
        <v>0</v>
      </c>
      <c r="G328" s="11">
        <f>Concentrations!$M$15</f>
        <v>0</v>
      </c>
      <c r="H328" s="2" t="s">
        <v>22</v>
      </c>
      <c r="I328" s="2" cm="1">
        <f t="array" aca="1" ref="I328" ca="1">IF(MOD(COLUMN(INDIRECT(B328&amp;1)),2)=1,IF(MOD(C328,2)=1,$F$1,$F$2),IF(MOD(C328,2)=1,$H$1,$H$2))</f>
        <v>0</v>
      </c>
      <c r="J328" s="16"/>
      <c r="K328" s="5"/>
    </row>
    <row r="329" spans="1:11" x14ac:dyDescent="0.3">
      <c r="A329" s="2" t="s">
        <v>383</v>
      </c>
      <c r="B329" s="2" t="s">
        <v>371</v>
      </c>
      <c r="C329" s="2" t="s">
        <v>46</v>
      </c>
      <c r="D329" s="11">
        <f>Names!$N$15</f>
        <v>0</v>
      </c>
      <c r="E329" s="2" t="str">
        <f t="shared" si="20"/>
        <v/>
      </c>
      <c r="F329" s="11">
        <f t="shared" si="21"/>
        <v>0</v>
      </c>
      <c r="G329" s="11">
        <f>Concentrations!$N$15</f>
        <v>0</v>
      </c>
      <c r="H329" s="2" t="s">
        <v>122</v>
      </c>
      <c r="I329" s="2" cm="1">
        <f t="array" aca="1" ref="I329" ca="1">IF(MOD(COLUMN(INDIRECT(B329&amp;1)),2)=1,IF(MOD(C329,2)=1,$F$1,$F$2),IF(MOD(C329,2)=1,$H$1,$H$2))</f>
        <v>0</v>
      </c>
      <c r="J329" s="16"/>
      <c r="K329" s="5"/>
    </row>
    <row r="330" spans="1:11" x14ac:dyDescent="0.3">
      <c r="A330" s="2" t="s">
        <v>384</v>
      </c>
      <c r="B330" s="2" t="s">
        <v>371</v>
      </c>
      <c r="C330" s="2" t="s">
        <v>48</v>
      </c>
      <c r="D330" s="11">
        <f>Names!$O$15</f>
        <v>0</v>
      </c>
      <c r="E330" s="2" t="str">
        <f t="shared" si="20"/>
        <v/>
      </c>
      <c r="F330" s="11">
        <f t="shared" si="21"/>
        <v>0</v>
      </c>
      <c r="G330" s="11">
        <f>Concentrations!$O$15</f>
        <v>0</v>
      </c>
      <c r="H330" s="2" t="s">
        <v>122</v>
      </c>
      <c r="I330" s="2" cm="1">
        <f t="array" aca="1" ref="I330" ca="1">IF(MOD(COLUMN(INDIRECT(B330&amp;1)),2)=1,IF(MOD(C330,2)=1,$F$1,$F$2),IF(MOD(C330,2)=1,$H$1,$H$2))</f>
        <v>0</v>
      </c>
      <c r="J330" s="16"/>
      <c r="K330" s="5"/>
    </row>
    <row r="331" spans="1:11" x14ac:dyDescent="0.3">
      <c r="A331" s="2" t="s">
        <v>385</v>
      </c>
      <c r="B331" s="2" t="s">
        <v>371</v>
      </c>
      <c r="C331" s="2" t="s">
        <v>50</v>
      </c>
      <c r="D331" s="11">
        <f>Names!$P$15</f>
        <v>0</v>
      </c>
      <c r="E331" s="2" t="str">
        <f t="shared" si="20"/>
        <v/>
      </c>
      <c r="F331" s="11">
        <f t="shared" si="21"/>
        <v>0</v>
      </c>
      <c r="G331" s="11">
        <f>Concentrations!$P$15</f>
        <v>0</v>
      </c>
      <c r="H331" s="2" t="s">
        <v>122</v>
      </c>
      <c r="I331" s="2" cm="1">
        <f t="array" aca="1" ref="I331" ca="1">IF(MOD(COLUMN(INDIRECT(B331&amp;1)),2)=1,IF(MOD(C331,2)=1,$F$1,$F$2),IF(MOD(C331,2)=1,$H$1,$H$2))</f>
        <v>0</v>
      </c>
      <c r="J331" s="16"/>
      <c r="K331" s="5"/>
    </row>
    <row r="332" spans="1:11" x14ac:dyDescent="0.3">
      <c r="A332" s="2" t="s">
        <v>386</v>
      </c>
      <c r="B332" s="2" t="s">
        <v>371</v>
      </c>
      <c r="C332" s="2" t="s">
        <v>52</v>
      </c>
      <c r="D332" s="11">
        <f>Names!$Q$15</f>
        <v>0</v>
      </c>
      <c r="E332" s="2" t="str">
        <f t="shared" si="20"/>
        <v/>
      </c>
      <c r="F332" s="11">
        <f t="shared" si="21"/>
        <v>0</v>
      </c>
      <c r="G332" s="11">
        <f>Concentrations!$Q$15</f>
        <v>0</v>
      </c>
      <c r="H332" s="2" t="s">
        <v>122</v>
      </c>
      <c r="I332" s="2" cm="1">
        <f t="array" aca="1" ref="I332" ca="1">IF(MOD(COLUMN(INDIRECT(B332&amp;1)),2)=1,IF(MOD(C332,2)=1,$F$1,$F$2),IF(MOD(C332,2)=1,$H$1,$H$2))</f>
        <v>0</v>
      </c>
      <c r="J332" s="16"/>
      <c r="K332" s="5"/>
    </row>
    <row r="333" spans="1:11" x14ac:dyDescent="0.3">
      <c r="A333" s="2" t="s">
        <v>387</v>
      </c>
      <c r="B333" s="2" t="s">
        <v>371</v>
      </c>
      <c r="C333" s="2" t="s">
        <v>54</v>
      </c>
      <c r="D333" s="11">
        <f>Names!$R$15</f>
        <v>0</v>
      </c>
      <c r="E333" s="2" t="str">
        <f t="shared" si="20"/>
        <v/>
      </c>
      <c r="F333" s="11">
        <f t="shared" si="21"/>
        <v>0</v>
      </c>
      <c r="G333" s="11">
        <f>Concentrations!$R$15</f>
        <v>0</v>
      </c>
      <c r="H333" s="2" t="s">
        <v>122</v>
      </c>
      <c r="I333" s="2" cm="1">
        <f t="array" aca="1" ref="I333" ca="1">IF(MOD(COLUMN(INDIRECT(B333&amp;1)),2)=1,IF(MOD(C333,2)=1,$F$1,$F$2),IF(MOD(C333,2)=1,$H$1,$H$2))</f>
        <v>0</v>
      </c>
      <c r="J333" s="16"/>
      <c r="K333" s="5"/>
    </row>
    <row r="334" spans="1:11" x14ac:dyDescent="0.3">
      <c r="A334" s="2" t="s">
        <v>388</v>
      </c>
      <c r="B334" s="2" t="s">
        <v>371</v>
      </c>
      <c r="C334" s="2" t="s">
        <v>56</v>
      </c>
      <c r="D334" s="11">
        <f>Names!$S$15</f>
        <v>0</v>
      </c>
      <c r="E334" s="2" t="str">
        <f t="shared" si="20"/>
        <v/>
      </c>
      <c r="F334" s="11">
        <f t="shared" si="21"/>
        <v>0</v>
      </c>
      <c r="G334" s="11">
        <f>Concentrations!$S$15</f>
        <v>0</v>
      </c>
      <c r="H334" s="2" t="s">
        <v>122</v>
      </c>
      <c r="I334" s="2" cm="1">
        <f t="array" aca="1" ref="I334" ca="1">IF(MOD(COLUMN(INDIRECT(B334&amp;1)),2)=1,IF(MOD(C334,2)=1,$F$1,$F$2),IF(MOD(C334,2)=1,$H$1,$H$2))</f>
        <v>0</v>
      </c>
      <c r="J334" s="16"/>
      <c r="K334" s="5"/>
    </row>
    <row r="335" spans="1:11" x14ac:dyDescent="0.3">
      <c r="A335" s="2" t="s">
        <v>389</v>
      </c>
      <c r="B335" s="2" t="s">
        <v>371</v>
      </c>
      <c r="C335" s="2" t="s">
        <v>58</v>
      </c>
      <c r="D335" s="11">
        <f>Names!$T$15</f>
        <v>0</v>
      </c>
      <c r="E335" s="2" t="str">
        <f t="shared" si="20"/>
        <v/>
      </c>
      <c r="F335" s="11">
        <f t="shared" si="21"/>
        <v>0</v>
      </c>
      <c r="G335" s="11">
        <f>Concentrations!$T$15</f>
        <v>0</v>
      </c>
      <c r="H335" s="2" t="s">
        <v>122</v>
      </c>
      <c r="I335" s="2" cm="1">
        <f t="array" aca="1" ref="I335" ca="1">IF(MOD(COLUMN(INDIRECT(B335&amp;1)),2)=1,IF(MOD(C335,2)=1,$F$1,$F$2),IF(MOD(C335,2)=1,$H$1,$H$2))</f>
        <v>0</v>
      </c>
      <c r="J335" s="16"/>
      <c r="K335" s="5"/>
    </row>
    <row r="336" spans="1:11" x14ac:dyDescent="0.3">
      <c r="A336" s="2" t="s">
        <v>390</v>
      </c>
      <c r="B336" s="2" t="s">
        <v>371</v>
      </c>
      <c r="C336" s="2" t="s">
        <v>60</v>
      </c>
      <c r="D336" s="11">
        <f>Names!$U$15</f>
        <v>0</v>
      </c>
      <c r="E336" s="2" t="str">
        <f t="shared" si="20"/>
        <v/>
      </c>
      <c r="F336" s="11">
        <f t="shared" si="21"/>
        <v>0</v>
      </c>
      <c r="G336" s="11">
        <f>Concentrations!$U$15</f>
        <v>0</v>
      </c>
      <c r="H336" s="2" t="s">
        <v>122</v>
      </c>
      <c r="I336" s="2" cm="1">
        <f t="array" aca="1" ref="I336" ca="1">IF(MOD(COLUMN(INDIRECT(B336&amp;1)),2)=1,IF(MOD(C336,2)=1,$F$1,$F$2),IF(MOD(C336,2)=1,$H$1,$H$2))</f>
        <v>0</v>
      </c>
      <c r="J336" s="16"/>
      <c r="K336" s="5"/>
    </row>
    <row r="337" spans="1:11" x14ac:dyDescent="0.3">
      <c r="A337" s="2" t="s">
        <v>391</v>
      </c>
      <c r="B337" s="2" t="s">
        <v>371</v>
      </c>
      <c r="C337" s="2" t="s">
        <v>62</v>
      </c>
      <c r="D337" s="11">
        <f>Names!$V$15</f>
        <v>0</v>
      </c>
      <c r="E337" s="2" t="str">
        <f t="shared" si="20"/>
        <v/>
      </c>
      <c r="F337" s="11">
        <f t="shared" si="21"/>
        <v>0</v>
      </c>
      <c r="G337" s="11">
        <f>Concentrations!$V$15</f>
        <v>0</v>
      </c>
      <c r="H337" s="2" t="s">
        <v>122</v>
      </c>
      <c r="I337" s="2" cm="1">
        <f t="array" aca="1" ref="I337" ca="1">IF(MOD(COLUMN(INDIRECT(B337&amp;1)),2)=1,IF(MOD(C337,2)=1,$F$1,$F$2),IF(MOD(C337,2)=1,$H$1,$H$2))</f>
        <v>0</v>
      </c>
      <c r="J337" s="16"/>
      <c r="K337" s="5"/>
    </row>
    <row r="338" spans="1:11" x14ac:dyDescent="0.3">
      <c r="A338" s="2" t="s">
        <v>392</v>
      </c>
      <c r="B338" s="2" t="s">
        <v>371</v>
      </c>
      <c r="C338" s="2" t="s">
        <v>64</v>
      </c>
      <c r="D338" s="11">
        <f>Names!$W$15</f>
        <v>0</v>
      </c>
      <c r="E338" s="2" t="str">
        <f t="shared" si="20"/>
        <v/>
      </c>
      <c r="F338" s="11">
        <f t="shared" si="21"/>
        <v>0</v>
      </c>
      <c r="G338" s="11">
        <f>Concentrations!$W$15</f>
        <v>0</v>
      </c>
      <c r="H338" s="2" t="s">
        <v>122</v>
      </c>
      <c r="I338" s="2" cm="1">
        <f t="array" aca="1" ref="I338" ca="1">IF(MOD(COLUMN(INDIRECT(B338&amp;1)),2)=1,IF(MOD(C338,2)=1,$F$1,$F$2),IF(MOD(C338,2)=1,$H$1,$H$2))</f>
        <v>0</v>
      </c>
      <c r="J338" s="16"/>
      <c r="K338" s="5"/>
    </row>
    <row r="339" spans="1:11" x14ac:dyDescent="0.3">
      <c r="A339" s="2" t="s">
        <v>393</v>
      </c>
      <c r="B339" s="2" t="s">
        <v>371</v>
      </c>
      <c r="C339" s="2" t="s">
        <v>66</v>
      </c>
      <c r="D339" s="11" t="str">
        <f>Names!$X$15</f>
        <v>DMSO</v>
      </c>
      <c r="E339" s="2" t="str">
        <f t="shared" si="20"/>
        <v/>
      </c>
      <c r="F339" s="11" t="str">
        <f t="shared" si="21"/>
        <v>DMSO</v>
      </c>
      <c r="G339" s="11">
        <f>Concentrations!$X$15</f>
        <v>0</v>
      </c>
      <c r="H339" s="2" t="s">
        <v>22</v>
      </c>
      <c r="I339" s="2" cm="1">
        <f t="array" aca="1" ref="I339" ca="1">IF(MOD(COLUMN(INDIRECT(B339&amp;1)),2)=1,IF(MOD(C339,2)=1,$F$1,$F$2),IF(MOD(C339,2)=1,$H$1,$H$2))</f>
        <v>0</v>
      </c>
      <c r="J339" s="16"/>
      <c r="K339" s="5"/>
    </row>
    <row r="340" spans="1:11" x14ac:dyDescent="0.3">
      <c r="A340" s="2" t="s">
        <v>394</v>
      </c>
      <c r="B340" s="2" t="s">
        <v>371</v>
      </c>
      <c r="C340" s="2" t="s">
        <v>68</v>
      </c>
      <c r="D340" s="11" t="str">
        <f>Names!$Y$15</f>
        <v>DMSO</v>
      </c>
      <c r="E340" s="2" t="str">
        <f t="shared" si="20"/>
        <v/>
      </c>
      <c r="F340" s="11" t="str">
        <f t="shared" si="21"/>
        <v>DMSO</v>
      </c>
      <c r="G340" s="11">
        <f>Concentrations!$Y$15</f>
        <v>0</v>
      </c>
      <c r="H340" s="2" t="s">
        <v>22</v>
      </c>
      <c r="I340" s="2" cm="1">
        <f t="array" aca="1" ref="I340" ca="1">IF(MOD(COLUMN(INDIRECT(B340&amp;1)),2)=1,IF(MOD(C340,2)=1,$F$1,$F$2),IF(MOD(C340,2)=1,$H$1,$H$2))</f>
        <v>0</v>
      </c>
      <c r="J340" s="16"/>
      <c r="K340" s="5"/>
    </row>
    <row r="341" spans="1:11" x14ac:dyDescent="0.3">
      <c r="A341" s="2" t="s">
        <v>395</v>
      </c>
      <c r="B341" s="2" t="s">
        <v>396</v>
      </c>
      <c r="C341" s="2" t="s">
        <v>21</v>
      </c>
      <c r="D341" s="11" t="str">
        <f>Names!$B$16</f>
        <v>DMSO</v>
      </c>
      <c r="E341" s="2" t="str">
        <f t="shared" si="20"/>
        <v/>
      </c>
      <c r="F341" s="11" t="str">
        <f t="shared" si="21"/>
        <v>DMSO</v>
      </c>
      <c r="G341" s="11">
        <f>Concentrations!$B$16</f>
        <v>0</v>
      </c>
      <c r="H341" s="2" t="s">
        <v>22</v>
      </c>
      <c r="I341" s="2" cm="1">
        <f t="array" aca="1" ref="I341" ca="1">IF(MOD(COLUMN(INDIRECT(B341&amp;1)),2)=1,IF(MOD(C341,2)=1,$F$1,$F$2),IF(MOD(C341,2)=1,$H$1,$H$2))</f>
        <v>0</v>
      </c>
      <c r="J341" s="16"/>
      <c r="K341" s="5"/>
    </row>
    <row r="342" spans="1:11" x14ac:dyDescent="0.3">
      <c r="A342" s="2" t="s">
        <v>397</v>
      </c>
      <c r="B342" s="2" t="s">
        <v>396</v>
      </c>
      <c r="C342" s="2" t="s">
        <v>24</v>
      </c>
      <c r="D342" s="11" t="str">
        <f>Names!$C$16</f>
        <v>DMSO</v>
      </c>
      <c r="E342" s="2" t="str">
        <f t="shared" si="20"/>
        <v/>
      </c>
      <c r="F342" s="11" t="str">
        <f t="shared" si="21"/>
        <v>DMSO</v>
      </c>
      <c r="G342" s="11">
        <f>Concentrations!$C$16</f>
        <v>0</v>
      </c>
      <c r="H342" s="2" t="s">
        <v>22</v>
      </c>
      <c r="I342" s="2" cm="1">
        <f t="array" aca="1" ref="I342" ca="1">IF(MOD(COLUMN(INDIRECT(B342&amp;1)),2)=1,IF(MOD(C342,2)=1,$F$1,$F$2),IF(MOD(C342,2)=1,$H$1,$H$2))</f>
        <v>0</v>
      </c>
      <c r="J342" s="16"/>
      <c r="K342" s="5"/>
    </row>
    <row r="343" spans="1:11" x14ac:dyDescent="0.3">
      <c r="A343" s="2" t="s">
        <v>398</v>
      </c>
      <c r="B343" s="2" t="s">
        <v>396</v>
      </c>
      <c r="C343" s="2" t="s">
        <v>26</v>
      </c>
      <c r="D343" s="11">
        <f>Names!$D$16</f>
        <v>0</v>
      </c>
      <c r="E343" s="2" t="str">
        <f t="shared" si="20"/>
        <v/>
      </c>
      <c r="F343" s="11">
        <f t="shared" si="21"/>
        <v>0</v>
      </c>
      <c r="G343" s="11">
        <f>Concentrations!$D$16</f>
        <v>0</v>
      </c>
      <c r="H343" s="2" t="s">
        <v>22</v>
      </c>
      <c r="I343" s="2" cm="1">
        <f t="array" aca="1" ref="I343" ca="1">IF(MOD(COLUMN(INDIRECT(B343&amp;1)),2)=1,IF(MOD(C343,2)=1,$F$1,$F$2),IF(MOD(C343,2)=1,$H$1,$H$2))</f>
        <v>0</v>
      </c>
      <c r="J343" s="16"/>
      <c r="K343" s="5"/>
    </row>
    <row r="344" spans="1:11" x14ac:dyDescent="0.3">
      <c r="A344" s="2" t="s">
        <v>399</v>
      </c>
      <c r="B344" s="2" t="s">
        <v>396</v>
      </c>
      <c r="C344" s="2" t="s">
        <v>28</v>
      </c>
      <c r="D344" s="11">
        <f>Names!$E$16</f>
        <v>0</v>
      </c>
      <c r="E344" s="2" t="str">
        <f t="shared" si="20"/>
        <v/>
      </c>
      <c r="F344" s="11">
        <f t="shared" si="21"/>
        <v>0</v>
      </c>
      <c r="G344" s="11">
        <f>Concentrations!$E$16</f>
        <v>0</v>
      </c>
      <c r="H344" s="2" t="s">
        <v>22</v>
      </c>
      <c r="I344" s="2" cm="1">
        <f t="array" aca="1" ref="I344" ca="1">IF(MOD(COLUMN(INDIRECT(B344&amp;1)),2)=1,IF(MOD(C344,2)=1,$F$1,$F$2),IF(MOD(C344,2)=1,$H$1,$H$2))</f>
        <v>0</v>
      </c>
      <c r="J344" s="16"/>
      <c r="K344" s="5"/>
    </row>
    <row r="345" spans="1:11" x14ac:dyDescent="0.3">
      <c r="A345" s="2" t="s">
        <v>400</v>
      </c>
      <c r="B345" s="2" t="s">
        <v>396</v>
      </c>
      <c r="C345" s="2" t="s">
        <v>30</v>
      </c>
      <c r="D345" s="11">
        <f>Names!$F$16</f>
        <v>0</v>
      </c>
      <c r="E345" s="2" t="str">
        <f t="shared" si="20"/>
        <v/>
      </c>
      <c r="F345" s="11">
        <f t="shared" si="21"/>
        <v>0</v>
      </c>
      <c r="G345" s="11">
        <f>Concentrations!$F$16</f>
        <v>0</v>
      </c>
      <c r="H345" s="2" t="s">
        <v>22</v>
      </c>
      <c r="I345" s="2" cm="1">
        <f t="array" aca="1" ref="I345" ca="1">IF(MOD(COLUMN(INDIRECT(B345&amp;1)),2)=1,IF(MOD(C345,2)=1,$F$1,$F$2),IF(MOD(C345,2)=1,$H$1,$H$2))</f>
        <v>0</v>
      </c>
      <c r="J345" s="16"/>
      <c r="K345" s="5"/>
    </row>
    <row r="346" spans="1:11" x14ac:dyDescent="0.3">
      <c r="A346" s="2" t="s">
        <v>401</v>
      </c>
      <c r="B346" s="2" t="s">
        <v>396</v>
      </c>
      <c r="C346" s="2" t="s">
        <v>32</v>
      </c>
      <c r="D346" s="11">
        <f>Names!$G$16</f>
        <v>0</v>
      </c>
      <c r="E346" s="2" t="str">
        <f t="shared" si="20"/>
        <v/>
      </c>
      <c r="F346" s="11">
        <f t="shared" si="21"/>
        <v>0</v>
      </c>
      <c r="G346" s="11">
        <f>Concentrations!$G$16</f>
        <v>0</v>
      </c>
      <c r="H346" s="2" t="s">
        <v>22</v>
      </c>
      <c r="I346" s="2" cm="1">
        <f t="array" aca="1" ref="I346" ca="1">IF(MOD(COLUMN(INDIRECT(B346&amp;1)),2)=1,IF(MOD(C346,2)=1,$F$1,$F$2),IF(MOD(C346,2)=1,$H$1,$H$2))</f>
        <v>0</v>
      </c>
      <c r="J346" s="16"/>
      <c r="K346" s="5"/>
    </row>
    <row r="347" spans="1:11" x14ac:dyDescent="0.3">
      <c r="A347" s="2" t="s">
        <v>402</v>
      </c>
      <c r="B347" s="2" t="s">
        <v>396</v>
      </c>
      <c r="C347" s="2" t="s">
        <v>34</v>
      </c>
      <c r="D347" s="11">
        <f>Names!$H$16</f>
        <v>0</v>
      </c>
      <c r="E347" s="2" t="str">
        <f t="shared" si="20"/>
        <v/>
      </c>
      <c r="F347" s="11">
        <f t="shared" si="21"/>
        <v>0</v>
      </c>
      <c r="G347" s="11">
        <f>Concentrations!$H$16</f>
        <v>0</v>
      </c>
      <c r="H347" s="2" t="s">
        <v>22</v>
      </c>
      <c r="I347" s="2" cm="1">
        <f t="array" aca="1" ref="I347" ca="1">IF(MOD(COLUMN(INDIRECT(B347&amp;1)),2)=1,IF(MOD(C347,2)=1,$F$1,$F$2),IF(MOD(C347,2)=1,$H$1,$H$2))</f>
        <v>0</v>
      </c>
      <c r="J347" s="16"/>
      <c r="K347" s="5"/>
    </row>
    <row r="348" spans="1:11" x14ac:dyDescent="0.3">
      <c r="A348" s="2" t="s">
        <v>403</v>
      </c>
      <c r="B348" s="2" t="s">
        <v>396</v>
      </c>
      <c r="C348" s="2" t="s">
        <v>36</v>
      </c>
      <c r="D348" s="11">
        <f>Names!$I$16</f>
        <v>0</v>
      </c>
      <c r="E348" s="2" t="str">
        <f t="shared" si="20"/>
        <v/>
      </c>
      <c r="F348" s="11">
        <f t="shared" si="21"/>
        <v>0</v>
      </c>
      <c r="G348" s="11">
        <f>Concentrations!$I$16</f>
        <v>0</v>
      </c>
      <c r="H348" s="2" t="s">
        <v>22</v>
      </c>
      <c r="I348" s="2" cm="1">
        <f t="array" aca="1" ref="I348" ca="1">IF(MOD(COLUMN(INDIRECT(B348&amp;1)),2)=1,IF(MOD(C348,2)=1,$F$1,$F$2),IF(MOD(C348,2)=1,$H$1,$H$2))</f>
        <v>0</v>
      </c>
      <c r="J348" s="16"/>
      <c r="K348" s="5"/>
    </row>
    <row r="349" spans="1:11" x14ac:dyDescent="0.3">
      <c r="A349" s="2" t="s">
        <v>404</v>
      </c>
      <c r="B349" s="2" t="s">
        <v>396</v>
      </c>
      <c r="C349" s="2" t="s">
        <v>38</v>
      </c>
      <c r="D349" s="11">
        <f>Names!$J$16</f>
        <v>0</v>
      </c>
      <c r="E349" s="2" t="str">
        <f t="shared" si="20"/>
        <v/>
      </c>
      <c r="F349" s="11">
        <f t="shared" si="21"/>
        <v>0</v>
      </c>
      <c r="G349" s="11">
        <f>Concentrations!$J$16</f>
        <v>0</v>
      </c>
      <c r="H349" s="2" t="s">
        <v>22</v>
      </c>
      <c r="I349" s="2" cm="1">
        <f t="array" aca="1" ref="I349" ca="1">IF(MOD(COLUMN(INDIRECT(B349&amp;1)),2)=1,IF(MOD(C349,2)=1,$F$1,$F$2),IF(MOD(C349,2)=1,$H$1,$H$2))</f>
        <v>0</v>
      </c>
      <c r="J349" s="16"/>
      <c r="K349" s="5"/>
    </row>
    <row r="350" spans="1:11" x14ac:dyDescent="0.3">
      <c r="A350" s="2" t="s">
        <v>405</v>
      </c>
      <c r="B350" s="2" t="s">
        <v>396</v>
      </c>
      <c r="C350" s="2" t="s">
        <v>40</v>
      </c>
      <c r="D350" s="11">
        <f>Names!$K$16</f>
        <v>0</v>
      </c>
      <c r="E350" s="2" t="str">
        <f t="shared" si="20"/>
        <v/>
      </c>
      <c r="F350" s="11">
        <f t="shared" si="21"/>
        <v>0</v>
      </c>
      <c r="G350" s="11">
        <f>Concentrations!$K$16</f>
        <v>0</v>
      </c>
      <c r="H350" s="2" t="s">
        <v>22</v>
      </c>
      <c r="I350" s="2" cm="1">
        <f t="array" aca="1" ref="I350" ca="1">IF(MOD(COLUMN(INDIRECT(B350&amp;1)),2)=1,IF(MOD(C350,2)=1,$F$1,$F$2),IF(MOD(C350,2)=1,$H$1,$H$2))</f>
        <v>0</v>
      </c>
      <c r="J350" s="16"/>
      <c r="K350" s="5"/>
    </row>
    <row r="351" spans="1:11" x14ac:dyDescent="0.3">
      <c r="A351" s="2" t="s">
        <v>406</v>
      </c>
      <c r="B351" s="2" t="s">
        <v>396</v>
      </c>
      <c r="C351" s="2" t="s">
        <v>42</v>
      </c>
      <c r="D351" s="11">
        <f>Names!$L$16</f>
        <v>0</v>
      </c>
      <c r="E351" s="2" t="str">
        <f t="shared" si="20"/>
        <v/>
      </c>
      <c r="F351" s="11">
        <f t="shared" si="21"/>
        <v>0</v>
      </c>
      <c r="G351" s="11">
        <f>Concentrations!$L$16</f>
        <v>0</v>
      </c>
      <c r="H351" s="2" t="s">
        <v>22</v>
      </c>
      <c r="I351" s="2" cm="1">
        <f t="array" aca="1" ref="I351" ca="1">IF(MOD(COLUMN(INDIRECT(B351&amp;1)),2)=1,IF(MOD(C351,2)=1,$F$1,$F$2),IF(MOD(C351,2)=1,$H$1,$H$2))</f>
        <v>0</v>
      </c>
      <c r="J351" s="16"/>
      <c r="K351" s="5"/>
    </row>
    <row r="352" spans="1:11" x14ac:dyDescent="0.3">
      <c r="A352" s="2" t="s">
        <v>407</v>
      </c>
      <c r="B352" s="2" t="s">
        <v>396</v>
      </c>
      <c r="C352" s="2" t="s">
        <v>44</v>
      </c>
      <c r="D352" s="11">
        <f>Names!$M$16</f>
        <v>0</v>
      </c>
      <c r="E352" s="2" t="str">
        <f t="shared" si="20"/>
        <v/>
      </c>
      <c r="F352" s="11">
        <f t="shared" si="21"/>
        <v>0</v>
      </c>
      <c r="G352" s="11">
        <f>Concentrations!$M$16</f>
        <v>0</v>
      </c>
      <c r="H352" s="2" t="s">
        <v>22</v>
      </c>
      <c r="I352" s="2" cm="1">
        <f t="array" aca="1" ref="I352" ca="1">IF(MOD(COLUMN(INDIRECT(B352&amp;1)),2)=1,IF(MOD(C352,2)=1,$F$1,$F$2),IF(MOD(C352,2)=1,$H$1,$H$2))</f>
        <v>0</v>
      </c>
      <c r="J352" s="16"/>
      <c r="K352" s="5"/>
    </row>
    <row r="353" spans="1:11" x14ac:dyDescent="0.3">
      <c r="A353" s="2" t="s">
        <v>408</v>
      </c>
      <c r="B353" s="2" t="s">
        <v>396</v>
      </c>
      <c r="C353" s="2" t="s">
        <v>46</v>
      </c>
      <c r="D353" s="11">
        <f>Names!$N$16</f>
        <v>0</v>
      </c>
      <c r="E353" s="2" t="str">
        <f t="shared" si="20"/>
        <v/>
      </c>
      <c r="F353" s="11">
        <f t="shared" si="21"/>
        <v>0</v>
      </c>
      <c r="G353" s="11">
        <f>Concentrations!$N$16</f>
        <v>0</v>
      </c>
      <c r="H353" s="2" t="s">
        <v>22</v>
      </c>
      <c r="I353" s="2" cm="1">
        <f t="array" aca="1" ref="I353" ca="1">IF(MOD(COLUMN(INDIRECT(B353&amp;1)),2)=1,IF(MOD(C353,2)=1,$F$1,$F$2),IF(MOD(C353,2)=1,$H$1,$H$2))</f>
        <v>0</v>
      </c>
      <c r="J353" s="16"/>
      <c r="K353" s="5"/>
    </row>
    <row r="354" spans="1:11" x14ac:dyDescent="0.3">
      <c r="A354" s="2" t="s">
        <v>409</v>
      </c>
      <c r="B354" s="2" t="s">
        <v>396</v>
      </c>
      <c r="C354" s="2" t="s">
        <v>48</v>
      </c>
      <c r="D354" s="11">
        <f>Names!$O$16</f>
        <v>0</v>
      </c>
      <c r="E354" s="2" t="str">
        <f t="shared" si="20"/>
        <v/>
      </c>
      <c r="F354" s="11">
        <f t="shared" si="21"/>
        <v>0</v>
      </c>
      <c r="G354" s="11">
        <f>Concentrations!$O$16</f>
        <v>0</v>
      </c>
      <c r="H354" s="2" t="s">
        <v>22</v>
      </c>
      <c r="I354" s="2" cm="1">
        <f t="array" aca="1" ref="I354" ca="1">IF(MOD(COLUMN(INDIRECT(B354&amp;1)),2)=1,IF(MOD(C354,2)=1,$F$1,$F$2),IF(MOD(C354,2)=1,$H$1,$H$2))</f>
        <v>0</v>
      </c>
      <c r="J354" s="16"/>
      <c r="K354" s="5"/>
    </row>
    <row r="355" spans="1:11" x14ac:dyDescent="0.3">
      <c r="A355" s="2" t="s">
        <v>410</v>
      </c>
      <c r="B355" s="2" t="s">
        <v>396</v>
      </c>
      <c r="C355" s="2" t="s">
        <v>50</v>
      </c>
      <c r="D355" s="11">
        <f>Names!$P$16</f>
        <v>0</v>
      </c>
      <c r="E355" s="2" t="str">
        <f t="shared" si="20"/>
        <v/>
      </c>
      <c r="F355" s="11">
        <f t="shared" si="21"/>
        <v>0</v>
      </c>
      <c r="G355" s="11">
        <f>Concentrations!$P$16</f>
        <v>0</v>
      </c>
      <c r="H355" s="2" t="s">
        <v>22</v>
      </c>
      <c r="I355" s="2" cm="1">
        <f t="array" aca="1" ref="I355" ca="1">IF(MOD(COLUMN(INDIRECT(B355&amp;1)),2)=1,IF(MOD(C355,2)=1,$F$1,$F$2),IF(MOD(C355,2)=1,$H$1,$H$2))</f>
        <v>0</v>
      </c>
      <c r="J355" s="16"/>
      <c r="K355" s="5"/>
    </row>
    <row r="356" spans="1:11" x14ac:dyDescent="0.3">
      <c r="A356" s="2" t="s">
        <v>411</v>
      </c>
      <c r="B356" s="2" t="s">
        <v>396</v>
      </c>
      <c r="C356" s="2" t="s">
        <v>52</v>
      </c>
      <c r="D356" s="11">
        <f>Names!$Q$16</f>
        <v>0</v>
      </c>
      <c r="E356" s="2" t="str">
        <f t="shared" si="20"/>
        <v/>
      </c>
      <c r="F356" s="11">
        <f t="shared" si="21"/>
        <v>0</v>
      </c>
      <c r="G356" s="11">
        <f>Concentrations!$Q$16</f>
        <v>0</v>
      </c>
      <c r="H356" s="2" t="s">
        <v>22</v>
      </c>
      <c r="I356" s="2" cm="1">
        <f t="array" aca="1" ref="I356" ca="1">IF(MOD(COLUMN(INDIRECT(B356&amp;1)),2)=1,IF(MOD(C356,2)=1,$F$1,$F$2),IF(MOD(C356,2)=1,$H$1,$H$2))</f>
        <v>0</v>
      </c>
      <c r="J356" s="16"/>
      <c r="K356" s="5"/>
    </row>
    <row r="357" spans="1:11" x14ac:dyDescent="0.3">
      <c r="A357" s="2" t="s">
        <v>412</v>
      </c>
      <c r="B357" s="2" t="s">
        <v>396</v>
      </c>
      <c r="C357" s="2" t="s">
        <v>54</v>
      </c>
      <c r="D357" s="11">
        <f>Names!$R$16</f>
        <v>0</v>
      </c>
      <c r="E357" s="2" t="str">
        <f t="shared" si="20"/>
        <v/>
      </c>
      <c r="F357" s="11">
        <f t="shared" si="21"/>
        <v>0</v>
      </c>
      <c r="G357" s="11">
        <f>Concentrations!$R$16</f>
        <v>0</v>
      </c>
      <c r="H357" s="2" t="s">
        <v>22</v>
      </c>
      <c r="I357" s="2" cm="1">
        <f t="array" aca="1" ref="I357" ca="1">IF(MOD(COLUMN(INDIRECT(B357&amp;1)),2)=1,IF(MOD(C357,2)=1,$F$1,$F$2),IF(MOD(C357,2)=1,$H$1,$H$2))</f>
        <v>0</v>
      </c>
      <c r="J357" s="16"/>
      <c r="K357" s="5"/>
    </row>
    <row r="358" spans="1:11" x14ac:dyDescent="0.3">
      <c r="A358" s="2" t="s">
        <v>413</v>
      </c>
      <c r="B358" s="2" t="s">
        <v>396</v>
      </c>
      <c r="C358" s="2" t="s">
        <v>56</v>
      </c>
      <c r="D358" s="11">
        <f>Names!$S$16</f>
        <v>0</v>
      </c>
      <c r="E358" s="2" t="str">
        <f t="shared" si="20"/>
        <v/>
      </c>
      <c r="F358" s="11">
        <f t="shared" si="21"/>
        <v>0</v>
      </c>
      <c r="G358" s="11">
        <f>Concentrations!$S$16</f>
        <v>0</v>
      </c>
      <c r="H358" s="2" t="s">
        <v>22</v>
      </c>
      <c r="I358" s="2" cm="1">
        <f t="array" aca="1" ref="I358" ca="1">IF(MOD(COLUMN(INDIRECT(B358&amp;1)),2)=1,IF(MOD(C358,2)=1,$F$1,$F$2),IF(MOD(C358,2)=1,$H$1,$H$2))</f>
        <v>0</v>
      </c>
      <c r="J358" s="16"/>
      <c r="K358" s="5"/>
    </row>
    <row r="359" spans="1:11" x14ac:dyDescent="0.3">
      <c r="A359" s="2" t="s">
        <v>414</v>
      </c>
      <c r="B359" s="2" t="s">
        <v>396</v>
      </c>
      <c r="C359" s="2" t="s">
        <v>58</v>
      </c>
      <c r="D359" s="11">
        <f>Names!$T$16</f>
        <v>0</v>
      </c>
      <c r="E359" s="2" t="str">
        <f t="shared" si="20"/>
        <v/>
      </c>
      <c r="F359" s="11">
        <f t="shared" si="21"/>
        <v>0</v>
      </c>
      <c r="G359" s="11">
        <f>Concentrations!$T$16</f>
        <v>0</v>
      </c>
      <c r="H359" s="2" t="s">
        <v>22</v>
      </c>
      <c r="I359" s="2" cm="1">
        <f t="array" aca="1" ref="I359" ca="1">IF(MOD(COLUMN(INDIRECT(B359&amp;1)),2)=1,IF(MOD(C359,2)=1,$F$1,$F$2),IF(MOD(C359,2)=1,$H$1,$H$2))</f>
        <v>0</v>
      </c>
      <c r="J359" s="16"/>
      <c r="K359" s="5"/>
    </row>
    <row r="360" spans="1:11" x14ac:dyDescent="0.3">
      <c r="A360" s="2" t="s">
        <v>415</v>
      </c>
      <c r="B360" s="2" t="s">
        <v>396</v>
      </c>
      <c r="C360" s="2" t="s">
        <v>60</v>
      </c>
      <c r="D360" s="11">
        <f>Names!$U$16</f>
        <v>0</v>
      </c>
      <c r="E360" s="2" t="str">
        <f t="shared" si="20"/>
        <v/>
      </c>
      <c r="F360" s="11">
        <f t="shared" si="21"/>
        <v>0</v>
      </c>
      <c r="G360" s="11">
        <f>Concentrations!$U$16</f>
        <v>0</v>
      </c>
      <c r="H360" s="2" t="s">
        <v>22</v>
      </c>
      <c r="I360" s="2" cm="1">
        <f t="array" aca="1" ref="I360" ca="1">IF(MOD(COLUMN(INDIRECT(B360&amp;1)),2)=1,IF(MOD(C360,2)=1,$F$1,$F$2),IF(MOD(C360,2)=1,$H$1,$H$2))</f>
        <v>0</v>
      </c>
      <c r="J360" s="16"/>
      <c r="K360" s="5"/>
    </row>
    <row r="361" spans="1:11" x14ac:dyDescent="0.3">
      <c r="A361" s="2" t="s">
        <v>416</v>
      </c>
      <c r="B361" s="2" t="s">
        <v>396</v>
      </c>
      <c r="C361" s="2" t="s">
        <v>62</v>
      </c>
      <c r="D361" s="11">
        <f>Names!$V$16</f>
        <v>0</v>
      </c>
      <c r="E361" s="2" t="str">
        <f t="shared" si="20"/>
        <v/>
      </c>
      <c r="F361" s="11">
        <f t="shared" si="21"/>
        <v>0</v>
      </c>
      <c r="G361" s="11">
        <f>Concentrations!$V$16</f>
        <v>0</v>
      </c>
      <c r="H361" s="2" t="s">
        <v>22</v>
      </c>
      <c r="I361" s="2" cm="1">
        <f t="array" aca="1" ref="I361" ca="1">IF(MOD(COLUMN(INDIRECT(B361&amp;1)),2)=1,IF(MOD(C361,2)=1,$F$1,$F$2),IF(MOD(C361,2)=1,$H$1,$H$2))</f>
        <v>0</v>
      </c>
      <c r="J361" s="16"/>
      <c r="K361" s="5"/>
    </row>
    <row r="362" spans="1:11" x14ac:dyDescent="0.3">
      <c r="A362" s="2" t="s">
        <v>417</v>
      </c>
      <c r="B362" s="2" t="s">
        <v>396</v>
      </c>
      <c r="C362" s="2" t="s">
        <v>64</v>
      </c>
      <c r="D362" s="11">
        <f>Names!$W$16</f>
        <v>0</v>
      </c>
      <c r="E362" s="2" t="str">
        <f t="shared" si="20"/>
        <v/>
      </c>
      <c r="F362" s="11">
        <f t="shared" si="21"/>
        <v>0</v>
      </c>
      <c r="G362" s="11">
        <f>Concentrations!$W$16</f>
        <v>0</v>
      </c>
      <c r="H362" s="2" t="s">
        <v>22</v>
      </c>
      <c r="I362" s="2" cm="1">
        <f t="array" aca="1" ref="I362" ca="1">IF(MOD(COLUMN(INDIRECT(B362&amp;1)),2)=1,IF(MOD(C362,2)=1,$F$1,$F$2),IF(MOD(C362,2)=1,$H$1,$H$2))</f>
        <v>0</v>
      </c>
      <c r="J362" s="16"/>
      <c r="K362" s="5"/>
    </row>
    <row r="363" spans="1:11" x14ac:dyDescent="0.3">
      <c r="A363" s="2" t="s">
        <v>418</v>
      </c>
      <c r="B363" s="2" t="s">
        <v>396</v>
      </c>
      <c r="C363" s="2" t="s">
        <v>66</v>
      </c>
      <c r="D363" s="11" t="str">
        <f>Names!$X$16</f>
        <v>DMSO</v>
      </c>
      <c r="E363" s="2" t="str">
        <f t="shared" si="20"/>
        <v/>
      </c>
      <c r="F363" s="11" t="str">
        <f t="shared" si="21"/>
        <v>DMSO</v>
      </c>
      <c r="G363" s="11">
        <f>Concentrations!$X$16</f>
        <v>0</v>
      </c>
      <c r="H363" s="2" t="s">
        <v>22</v>
      </c>
      <c r="I363" s="2" cm="1">
        <f t="array" aca="1" ref="I363" ca="1">IF(MOD(COLUMN(INDIRECT(B363&amp;1)),2)=1,IF(MOD(C363,2)=1,$F$1,$F$2),IF(MOD(C363,2)=1,$H$1,$H$2))</f>
        <v>0</v>
      </c>
      <c r="J363" s="16"/>
      <c r="K363" s="5"/>
    </row>
    <row r="364" spans="1:11" x14ac:dyDescent="0.3">
      <c r="A364" s="2" t="s">
        <v>419</v>
      </c>
      <c r="B364" s="2" t="s">
        <v>396</v>
      </c>
      <c r="C364" s="2" t="s">
        <v>68</v>
      </c>
      <c r="D364" s="11" t="str">
        <f>Names!$Y$16</f>
        <v>DMSO</v>
      </c>
      <c r="E364" s="2" t="str">
        <f t="shared" si="20"/>
        <v/>
      </c>
      <c r="F364" s="11" t="str">
        <f t="shared" si="21"/>
        <v>DMSO</v>
      </c>
      <c r="G364" s="11">
        <f>Concentrations!$Y$16</f>
        <v>0</v>
      </c>
      <c r="H364" s="2" t="s">
        <v>22</v>
      </c>
      <c r="I364" s="2" cm="1">
        <f t="array" aca="1" ref="I364" ca="1">IF(MOD(COLUMN(INDIRECT(B364&amp;1)),2)=1,IF(MOD(C364,2)=1,$F$1,$F$2),IF(MOD(C364,2)=1,$H$1,$H$2))</f>
        <v>0</v>
      </c>
      <c r="J364" s="16"/>
      <c r="K364" s="5"/>
    </row>
    <row r="365" spans="1:11" x14ac:dyDescent="0.3">
      <c r="A365" s="2" t="s">
        <v>420</v>
      </c>
      <c r="B365" s="2" t="s">
        <v>421</v>
      </c>
      <c r="C365" s="2" t="s">
        <v>21</v>
      </c>
      <c r="D365" s="11" t="str">
        <f>Names!$B$17</f>
        <v>DMSO</v>
      </c>
      <c r="E365" s="2" t="str">
        <f t="shared" si="20"/>
        <v/>
      </c>
      <c r="F365" s="11" t="str">
        <f t="shared" si="21"/>
        <v>DMSO</v>
      </c>
      <c r="G365" s="11">
        <f>Concentrations!$B$17</f>
        <v>0</v>
      </c>
      <c r="H365" s="2" t="s">
        <v>22</v>
      </c>
      <c r="I365" s="2" cm="1">
        <f t="array" aca="1" ref="I365" ca="1">IF(MOD(COLUMN(INDIRECT(B365&amp;1)),2)=1,IF(MOD(C365,2)=1,$F$1,$F$2),IF(MOD(C365,2)=1,$H$1,$H$2))</f>
        <v>0</v>
      </c>
      <c r="J365" s="16"/>
      <c r="K365" s="5"/>
    </row>
    <row r="366" spans="1:11" x14ac:dyDescent="0.3">
      <c r="A366" s="2" t="s">
        <v>422</v>
      </c>
      <c r="B366" s="2" t="s">
        <v>421</v>
      </c>
      <c r="C366" s="2" t="s">
        <v>24</v>
      </c>
      <c r="D366" s="11" t="str">
        <f>Names!$C$17</f>
        <v>Fenbendazole</v>
      </c>
      <c r="E366" s="2" t="str">
        <f t="shared" si="20"/>
        <v/>
      </c>
      <c r="F366" s="11" t="str">
        <f t="shared" si="21"/>
        <v>Fenbendazole</v>
      </c>
      <c r="G366" s="11">
        <f>Concentrations!$C$17</f>
        <v>0.3</v>
      </c>
      <c r="H366" s="2" t="s">
        <v>122</v>
      </c>
      <c r="I366" s="2" cm="1">
        <f t="array" aca="1" ref="I366" ca="1">IF(MOD(COLUMN(INDIRECT(B366&amp;1)),2)=1,IF(MOD(C366,2)=1,$F$1,$F$2),IF(MOD(C366,2)=1,$H$1,$H$2))</f>
        <v>0</v>
      </c>
      <c r="J366" s="16"/>
      <c r="K366" s="5"/>
    </row>
    <row r="367" spans="1:11" x14ac:dyDescent="0.3">
      <c r="A367" s="2" t="s">
        <v>423</v>
      </c>
      <c r="B367" s="2" t="s">
        <v>421</v>
      </c>
      <c r="C367" s="2" t="s">
        <v>26</v>
      </c>
      <c r="D367" s="11">
        <f>Names!$D$17</f>
        <v>0</v>
      </c>
      <c r="E367" s="2" t="str">
        <f t="shared" ref="E367:E388" si="22">IF(LEFT(D367,2)="KC",IF(_xlfn.CEILING.MATH(C367/2)-2&lt;1,"",_xlfn.CEILING.MATH(C367/2)-2),"")</f>
        <v/>
      </c>
      <c r="F367" s="11">
        <f t="shared" ref="F367:F388" si="23">IF(E367="",D367,_xlfn.CONCAT(D367,"_",E367))</f>
        <v>0</v>
      </c>
      <c r="G367" s="11">
        <f>Concentrations!$D$17</f>
        <v>0</v>
      </c>
      <c r="H367" s="2" t="s">
        <v>22</v>
      </c>
      <c r="I367" s="2" cm="1">
        <f t="array" aca="1" ref="I367" ca="1">IF(MOD(COLUMN(INDIRECT(B367&amp;1)),2)=1,IF(MOD(C367,2)=1,$F$1,$F$2),IF(MOD(C367,2)=1,$H$1,$H$2))</f>
        <v>0</v>
      </c>
      <c r="J367" s="16"/>
      <c r="K367" s="5"/>
    </row>
    <row r="368" spans="1:11" x14ac:dyDescent="0.3">
      <c r="A368" s="2" t="s">
        <v>424</v>
      </c>
      <c r="B368" s="2" t="s">
        <v>421</v>
      </c>
      <c r="C368" s="2" t="s">
        <v>28</v>
      </c>
      <c r="D368" s="11">
        <f>Names!$E$17</f>
        <v>0</v>
      </c>
      <c r="E368" s="2" t="str">
        <f t="shared" si="22"/>
        <v/>
      </c>
      <c r="F368" s="11">
        <f t="shared" si="23"/>
        <v>0</v>
      </c>
      <c r="G368" s="11">
        <f>Concentrations!$E$17</f>
        <v>0</v>
      </c>
      <c r="H368" s="2" t="s">
        <v>22</v>
      </c>
      <c r="I368" s="2" cm="1">
        <f t="array" aca="1" ref="I368" ca="1">IF(MOD(COLUMN(INDIRECT(B368&amp;1)),2)=1,IF(MOD(C368,2)=1,$F$1,$F$2),IF(MOD(C368,2)=1,$H$1,$H$2))</f>
        <v>0</v>
      </c>
      <c r="J368" s="16"/>
      <c r="K368" s="5"/>
    </row>
    <row r="369" spans="1:11" x14ac:dyDescent="0.3">
      <c r="A369" s="2" t="s">
        <v>425</v>
      </c>
      <c r="B369" s="2" t="s">
        <v>421</v>
      </c>
      <c r="C369" s="2" t="s">
        <v>30</v>
      </c>
      <c r="D369" s="11">
        <f>Names!$F$17</f>
        <v>0</v>
      </c>
      <c r="E369" s="2" t="str">
        <f t="shared" si="22"/>
        <v/>
      </c>
      <c r="F369" s="11">
        <f t="shared" si="23"/>
        <v>0</v>
      </c>
      <c r="G369" s="11">
        <f>Concentrations!$F$17</f>
        <v>0</v>
      </c>
      <c r="H369" s="2" t="s">
        <v>22</v>
      </c>
      <c r="I369" s="2" cm="1">
        <f t="array" aca="1" ref="I369" ca="1">IF(MOD(COLUMN(INDIRECT(B369&amp;1)),2)=1,IF(MOD(C369,2)=1,$F$1,$F$2),IF(MOD(C369,2)=1,$H$1,$H$2))</f>
        <v>0</v>
      </c>
      <c r="J369" s="16"/>
      <c r="K369" s="5"/>
    </row>
    <row r="370" spans="1:11" x14ac:dyDescent="0.3">
      <c r="A370" s="2" t="s">
        <v>426</v>
      </c>
      <c r="B370" s="2" t="s">
        <v>421</v>
      </c>
      <c r="C370" s="2" t="s">
        <v>32</v>
      </c>
      <c r="D370" s="11">
        <f>Names!$G$17</f>
        <v>0</v>
      </c>
      <c r="E370" s="2" t="str">
        <f t="shared" si="22"/>
        <v/>
      </c>
      <c r="F370" s="11">
        <f t="shared" si="23"/>
        <v>0</v>
      </c>
      <c r="G370" s="11">
        <f>Concentrations!$G$17</f>
        <v>0</v>
      </c>
      <c r="H370" s="2" t="s">
        <v>22</v>
      </c>
      <c r="I370" s="2" cm="1">
        <f t="array" aca="1" ref="I370" ca="1">IF(MOD(COLUMN(INDIRECT(B370&amp;1)),2)=1,IF(MOD(C370,2)=1,$F$1,$F$2),IF(MOD(C370,2)=1,$H$1,$H$2))</f>
        <v>0</v>
      </c>
      <c r="J370" s="16"/>
      <c r="K370" s="5"/>
    </row>
    <row r="371" spans="1:11" x14ac:dyDescent="0.3">
      <c r="A371" s="2" t="s">
        <v>427</v>
      </c>
      <c r="B371" s="2" t="s">
        <v>421</v>
      </c>
      <c r="C371" s="2" t="s">
        <v>34</v>
      </c>
      <c r="D371" s="11">
        <f>Names!$H$17</f>
        <v>0</v>
      </c>
      <c r="E371" s="2" t="str">
        <f t="shared" si="22"/>
        <v/>
      </c>
      <c r="F371" s="11">
        <f t="shared" si="23"/>
        <v>0</v>
      </c>
      <c r="G371" s="11">
        <f>Concentrations!$H$17</f>
        <v>0</v>
      </c>
      <c r="H371" s="2" t="s">
        <v>22</v>
      </c>
      <c r="I371" s="2" cm="1">
        <f t="array" aca="1" ref="I371" ca="1">IF(MOD(COLUMN(INDIRECT(B371&amp;1)),2)=1,IF(MOD(C371,2)=1,$F$1,$F$2),IF(MOD(C371,2)=1,$H$1,$H$2))</f>
        <v>0</v>
      </c>
      <c r="J371" s="16"/>
      <c r="K371" s="5"/>
    </row>
    <row r="372" spans="1:11" x14ac:dyDescent="0.3">
      <c r="A372" s="2" t="s">
        <v>428</v>
      </c>
      <c r="B372" s="2" t="s">
        <v>421</v>
      </c>
      <c r="C372" s="2" t="s">
        <v>36</v>
      </c>
      <c r="D372" s="11">
        <f>Names!$I$17</f>
        <v>0</v>
      </c>
      <c r="E372" s="2" t="str">
        <f t="shared" si="22"/>
        <v/>
      </c>
      <c r="F372" s="11">
        <f t="shared" si="23"/>
        <v>0</v>
      </c>
      <c r="G372" s="11">
        <f>Concentrations!$I$17</f>
        <v>0</v>
      </c>
      <c r="H372" s="2" t="s">
        <v>22</v>
      </c>
      <c r="I372" s="2" cm="1">
        <f t="array" aca="1" ref="I372" ca="1">IF(MOD(COLUMN(INDIRECT(B372&amp;1)),2)=1,IF(MOD(C372,2)=1,$F$1,$F$2),IF(MOD(C372,2)=1,$H$1,$H$2))</f>
        <v>0</v>
      </c>
      <c r="J372" s="16"/>
      <c r="K372" s="5"/>
    </row>
    <row r="373" spans="1:11" x14ac:dyDescent="0.3">
      <c r="A373" s="2" t="s">
        <v>429</v>
      </c>
      <c r="B373" s="2" t="s">
        <v>421</v>
      </c>
      <c r="C373" s="2" t="s">
        <v>38</v>
      </c>
      <c r="D373" s="11">
        <f>Names!$J$17</f>
        <v>0</v>
      </c>
      <c r="E373" s="2" t="str">
        <f t="shared" si="22"/>
        <v/>
      </c>
      <c r="F373" s="11">
        <f t="shared" si="23"/>
        <v>0</v>
      </c>
      <c r="G373" s="11">
        <f>Concentrations!$J$17</f>
        <v>0</v>
      </c>
      <c r="H373" s="2" t="s">
        <v>22</v>
      </c>
      <c r="I373" s="2" cm="1">
        <f t="array" aca="1" ref="I373" ca="1">IF(MOD(COLUMN(INDIRECT(B373&amp;1)),2)=1,IF(MOD(C373,2)=1,$F$1,$F$2),IF(MOD(C373,2)=1,$H$1,$H$2))</f>
        <v>0</v>
      </c>
      <c r="J373" s="16"/>
      <c r="K373" s="5"/>
    </row>
    <row r="374" spans="1:11" x14ac:dyDescent="0.3">
      <c r="A374" s="2" t="s">
        <v>430</v>
      </c>
      <c r="B374" s="2" t="s">
        <v>421</v>
      </c>
      <c r="C374" s="2" t="s">
        <v>40</v>
      </c>
      <c r="D374" s="11">
        <f>Names!$K$17</f>
        <v>0</v>
      </c>
      <c r="E374" s="2" t="str">
        <f t="shared" si="22"/>
        <v/>
      </c>
      <c r="F374" s="11">
        <f t="shared" si="23"/>
        <v>0</v>
      </c>
      <c r="G374" s="11">
        <f>Concentrations!$K$17</f>
        <v>0</v>
      </c>
      <c r="H374" s="2" t="s">
        <v>22</v>
      </c>
      <c r="I374" s="2" cm="1">
        <f t="array" aca="1" ref="I374" ca="1">IF(MOD(COLUMN(INDIRECT(B374&amp;1)),2)=1,IF(MOD(C374,2)=1,$F$1,$F$2),IF(MOD(C374,2)=1,$H$1,$H$2))</f>
        <v>0</v>
      </c>
      <c r="J374" s="16"/>
      <c r="K374" s="5"/>
    </row>
    <row r="375" spans="1:11" x14ac:dyDescent="0.3">
      <c r="A375" s="2" t="s">
        <v>431</v>
      </c>
      <c r="B375" s="2" t="s">
        <v>421</v>
      </c>
      <c r="C375" s="2" t="s">
        <v>42</v>
      </c>
      <c r="D375" s="11">
        <f>Names!$L$17</f>
        <v>0</v>
      </c>
      <c r="E375" s="2" t="str">
        <f t="shared" si="22"/>
        <v/>
      </c>
      <c r="F375" s="11">
        <f t="shared" si="23"/>
        <v>0</v>
      </c>
      <c r="G375" s="11">
        <f>Concentrations!$L$17</f>
        <v>0</v>
      </c>
      <c r="H375" s="2" t="s">
        <v>22</v>
      </c>
      <c r="I375" s="2" cm="1">
        <f t="array" aca="1" ref="I375" ca="1">IF(MOD(COLUMN(INDIRECT(B375&amp;1)),2)=1,IF(MOD(C375,2)=1,$F$1,$F$2),IF(MOD(C375,2)=1,$H$1,$H$2))</f>
        <v>0</v>
      </c>
      <c r="J375" s="16"/>
      <c r="K375" s="5"/>
    </row>
    <row r="376" spans="1:11" x14ac:dyDescent="0.3">
      <c r="A376" s="2" t="s">
        <v>432</v>
      </c>
      <c r="B376" s="2" t="s">
        <v>421</v>
      </c>
      <c r="C376" s="2" t="s">
        <v>44</v>
      </c>
      <c r="D376" s="11">
        <f>Names!$M$17</f>
        <v>0</v>
      </c>
      <c r="E376" s="2" t="str">
        <f t="shared" si="22"/>
        <v/>
      </c>
      <c r="F376" s="11">
        <f t="shared" si="23"/>
        <v>0</v>
      </c>
      <c r="G376" s="11">
        <f>Concentrations!$M$17</f>
        <v>0</v>
      </c>
      <c r="H376" s="2" t="s">
        <v>22</v>
      </c>
      <c r="I376" s="2" cm="1">
        <f t="array" aca="1" ref="I376" ca="1">IF(MOD(COLUMN(INDIRECT(B376&amp;1)),2)=1,IF(MOD(C376,2)=1,$F$1,$F$2),IF(MOD(C376,2)=1,$H$1,$H$2))</f>
        <v>0</v>
      </c>
      <c r="J376" s="16"/>
      <c r="K376" s="5"/>
    </row>
    <row r="377" spans="1:11" x14ac:dyDescent="0.3">
      <c r="A377" s="2" t="s">
        <v>433</v>
      </c>
      <c r="B377" s="2" t="s">
        <v>421</v>
      </c>
      <c r="C377" s="2" t="s">
        <v>46</v>
      </c>
      <c r="D377" s="11">
        <f>Names!$N$17</f>
        <v>0</v>
      </c>
      <c r="E377" s="2" t="str">
        <f t="shared" si="22"/>
        <v/>
      </c>
      <c r="F377" s="11">
        <f t="shared" si="23"/>
        <v>0</v>
      </c>
      <c r="G377" s="11">
        <f>Concentrations!$N$17</f>
        <v>0</v>
      </c>
      <c r="H377" s="2" t="s">
        <v>22</v>
      </c>
      <c r="I377" s="2" cm="1">
        <f t="array" aca="1" ref="I377" ca="1">IF(MOD(COLUMN(INDIRECT(B377&amp;1)),2)=1,IF(MOD(C377,2)=1,$F$1,$F$2),IF(MOD(C377,2)=1,$H$1,$H$2))</f>
        <v>0</v>
      </c>
      <c r="J377" s="16"/>
      <c r="K377" s="5"/>
    </row>
    <row r="378" spans="1:11" x14ac:dyDescent="0.3">
      <c r="A378" s="2" t="s">
        <v>434</v>
      </c>
      <c r="B378" s="2" t="s">
        <v>421</v>
      </c>
      <c r="C378" s="2" t="s">
        <v>48</v>
      </c>
      <c r="D378" s="11">
        <f>Names!$O$17</f>
        <v>0</v>
      </c>
      <c r="E378" s="2" t="str">
        <f t="shared" si="22"/>
        <v/>
      </c>
      <c r="F378" s="11">
        <f t="shared" si="23"/>
        <v>0</v>
      </c>
      <c r="G378" s="11">
        <f>Concentrations!$O$17</f>
        <v>0</v>
      </c>
      <c r="H378" s="2" t="s">
        <v>22</v>
      </c>
      <c r="I378" s="2" cm="1">
        <f t="array" aca="1" ref="I378" ca="1">IF(MOD(COLUMN(INDIRECT(B378&amp;1)),2)=1,IF(MOD(C378,2)=1,$F$1,$F$2),IF(MOD(C378,2)=1,$H$1,$H$2))</f>
        <v>0</v>
      </c>
      <c r="J378" s="16"/>
      <c r="K378" s="5"/>
    </row>
    <row r="379" spans="1:11" x14ac:dyDescent="0.3">
      <c r="A379" s="2" t="s">
        <v>435</v>
      </c>
      <c r="B379" s="2" t="s">
        <v>421</v>
      </c>
      <c r="C379" s="2" t="s">
        <v>50</v>
      </c>
      <c r="D379" s="11">
        <f>Names!$P$17</f>
        <v>0</v>
      </c>
      <c r="E379" s="2" t="str">
        <f t="shared" si="22"/>
        <v/>
      </c>
      <c r="F379" s="11">
        <f t="shared" si="23"/>
        <v>0</v>
      </c>
      <c r="G379" s="11">
        <f>Concentrations!$P$17</f>
        <v>0</v>
      </c>
      <c r="H379" s="2" t="s">
        <v>22</v>
      </c>
      <c r="I379" s="2" cm="1">
        <f t="array" aca="1" ref="I379" ca="1">IF(MOD(COLUMN(INDIRECT(B379&amp;1)),2)=1,IF(MOD(C379,2)=1,$F$1,$F$2),IF(MOD(C379,2)=1,$H$1,$H$2))</f>
        <v>0</v>
      </c>
      <c r="J379" s="16"/>
      <c r="K379" s="5"/>
    </row>
    <row r="380" spans="1:11" x14ac:dyDescent="0.3">
      <c r="A380" s="2" t="s">
        <v>436</v>
      </c>
      <c r="B380" s="2" t="s">
        <v>421</v>
      </c>
      <c r="C380" s="2" t="s">
        <v>52</v>
      </c>
      <c r="D380" s="11">
        <f>Names!$Q$17</f>
        <v>0</v>
      </c>
      <c r="E380" s="2" t="str">
        <f t="shared" si="22"/>
        <v/>
      </c>
      <c r="F380" s="11">
        <f t="shared" si="23"/>
        <v>0</v>
      </c>
      <c r="G380" s="11">
        <f>Concentrations!$Q$17</f>
        <v>0</v>
      </c>
      <c r="H380" s="2" t="s">
        <v>22</v>
      </c>
      <c r="I380" s="2" cm="1">
        <f t="array" aca="1" ref="I380" ca="1">IF(MOD(COLUMN(INDIRECT(B380&amp;1)),2)=1,IF(MOD(C380,2)=1,$F$1,$F$2),IF(MOD(C380,2)=1,$H$1,$H$2))</f>
        <v>0</v>
      </c>
      <c r="J380" s="16"/>
      <c r="K380" s="5"/>
    </row>
    <row r="381" spans="1:11" x14ac:dyDescent="0.3">
      <c r="A381" s="2" t="s">
        <v>437</v>
      </c>
      <c r="B381" s="2" t="s">
        <v>421</v>
      </c>
      <c r="C381" s="2" t="s">
        <v>54</v>
      </c>
      <c r="D381" s="11">
        <f>Names!$R$17</f>
        <v>0</v>
      </c>
      <c r="E381" s="2" t="str">
        <f t="shared" si="22"/>
        <v/>
      </c>
      <c r="F381" s="11">
        <f t="shared" si="23"/>
        <v>0</v>
      </c>
      <c r="G381" s="11">
        <f>Concentrations!$R$17</f>
        <v>0</v>
      </c>
      <c r="H381" s="2" t="s">
        <v>22</v>
      </c>
      <c r="I381" s="2" cm="1">
        <f t="array" aca="1" ref="I381" ca="1">IF(MOD(COLUMN(INDIRECT(B381&amp;1)),2)=1,IF(MOD(C381,2)=1,$F$1,$F$2),IF(MOD(C381,2)=1,$H$1,$H$2))</f>
        <v>0</v>
      </c>
      <c r="J381" s="16"/>
      <c r="K381" s="5"/>
    </row>
    <row r="382" spans="1:11" x14ac:dyDescent="0.3">
      <c r="A382" s="2" t="s">
        <v>438</v>
      </c>
      <c r="B382" s="2" t="s">
        <v>421</v>
      </c>
      <c r="C382" s="2" t="s">
        <v>56</v>
      </c>
      <c r="D382" s="11">
        <f>Names!$S$17</f>
        <v>0</v>
      </c>
      <c r="E382" s="2" t="str">
        <f t="shared" si="22"/>
        <v/>
      </c>
      <c r="F382" s="11">
        <f t="shared" si="23"/>
        <v>0</v>
      </c>
      <c r="G382" s="11">
        <f>Concentrations!$S$17</f>
        <v>0</v>
      </c>
      <c r="H382" s="2" t="s">
        <v>22</v>
      </c>
      <c r="I382" s="2" cm="1">
        <f t="array" aca="1" ref="I382" ca="1">IF(MOD(COLUMN(INDIRECT(B382&amp;1)),2)=1,IF(MOD(C382,2)=1,$F$1,$F$2),IF(MOD(C382,2)=1,$H$1,$H$2))</f>
        <v>0</v>
      </c>
      <c r="J382" s="16"/>
      <c r="K382" s="5"/>
    </row>
    <row r="383" spans="1:11" x14ac:dyDescent="0.3">
      <c r="A383" s="2" t="s">
        <v>439</v>
      </c>
      <c r="B383" s="2" t="s">
        <v>421</v>
      </c>
      <c r="C383" s="2" t="s">
        <v>58</v>
      </c>
      <c r="D383" s="11">
        <f>Names!$T$17</f>
        <v>0</v>
      </c>
      <c r="E383" s="2" t="str">
        <f t="shared" si="22"/>
        <v/>
      </c>
      <c r="F383" s="11">
        <f t="shared" si="23"/>
        <v>0</v>
      </c>
      <c r="G383" s="11">
        <f>Concentrations!$T$17</f>
        <v>0</v>
      </c>
      <c r="H383" s="2" t="s">
        <v>22</v>
      </c>
      <c r="I383" s="2" cm="1">
        <f t="array" aca="1" ref="I383" ca="1">IF(MOD(COLUMN(INDIRECT(B383&amp;1)),2)=1,IF(MOD(C383,2)=1,$F$1,$F$2),IF(MOD(C383,2)=1,$H$1,$H$2))</f>
        <v>0</v>
      </c>
      <c r="J383" s="16"/>
      <c r="K383" s="5"/>
    </row>
    <row r="384" spans="1:11" x14ac:dyDescent="0.3">
      <c r="A384" s="2" t="s">
        <v>440</v>
      </c>
      <c r="B384" s="2" t="s">
        <v>421</v>
      </c>
      <c r="C384" s="2" t="s">
        <v>60</v>
      </c>
      <c r="D384" s="11">
        <f>Names!$U$17</f>
        <v>0</v>
      </c>
      <c r="E384" s="2" t="str">
        <f t="shared" si="22"/>
        <v/>
      </c>
      <c r="F384" s="11">
        <f t="shared" si="23"/>
        <v>0</v>
      </c>
      <c r="G384" s="11">
        <f>Concentrations!$U$17</f>
        <v>0</v>
      </c>
      <c r="H384" s="2" t="s">
        <v>22</v>
      </c>
      <c r="I384" s="2" cm="1">
        <f t="array" aca="1" ref="I384" ca="1">IF(MOD(COLUMN(INDIRECT(B384&amp;1)),2)=1,IF(MOD(C384,2)=1,$F$1,$F$2),IF(MOD(C384,2)=1,$H$1,$H$2))</f>
        <v>0</v>
      </c>
      <c r="J384" s="16"/>
      <c r="K384" s="5"/>
    </row>
    <row r="385" spans="1:11" x14ac:dyDescent="0.3">
      <c r="A385" s="2" t="s">
        <v>441</v>
      </c>
      <c r="B385" s="2" t="s">
        <v>421</v>
      </c>
      <c r="C385" s="2" t="s">
        <v>62</v>
      </c>
      <c r="D385" s="11">
        <f>Names!$V$17</f>
        <v>0</v>
      </c>
      <c r="E385" s="2" t="str">
        <f t="shared" si="22"/>
        <v/>
      </c>
      <c r="F385" s="11">
        <f t="shared" si="23"/>
        <v>0</v>
      </c>
      <c r="G385" s="11">
        <f>Concentrations!$V$17</f>
        <v>0</v>
      </c>
      <c r="H385" s="2" t="s">
        <v>22</v>
      </c>
      <c r="I385" s="2" cm="1">
        <f t="array" aca="1" ref="I385" ca="1">IF(MOD(COLUMN(INDIRECT(B385&amp;1)),2)=1,IF(MOD(C385,2)=1,$F$1,$F$2),IF(MOD(C385,2)=1,$H$1,$H$2))</f>
        <v>0</v>
      </c>
      <c r="J385" s="16"/>
      <c r="K385" s="5"/>
    </row>
    <row r="386" spans="1:11" x14ac:dyDescent="0.3">
      <c r="A386" s="2" t="s">
        <v>442</v>
      </c>
      <c r="B386" s="2" t="s">
        <v>421</v>
      </c>
      <c r="C386" s="2" t="s">
        <v>64</v>
      </c>
      <c r="D386" s="11">
        <f>Names!$W$17</f>
        <v>0</v>
      </c>
      <c r="E386" s="2" t="str">
        <f t="shared" si="22"/>
        <v/>
      </c>
      <c r="F386" s="11">
        <f t="shared" si="23"/>
        <v>0</v>
      </c>
      <c r="G386" s="11">
        <f>Concentrations!$W$17</f>
        <v>0</v>
      </c>
      <c r="H386" s="2" t="s">
        <v>22</v>
      </c>
      <c r="I386" s="2" cm="1">
        <f t="array" aca="1" ref="I386" ca="1">IF(MOD(COLUMN(INDIRECT(B386&amp;1)),2)=1,IF(MOD(C386,2)=1,$F$1,$F$2),IF(MOD(C386,2)=1,$H$1,$H$2))</f>
        <v>0</v>
      </c>
      <c r="J386" s="16"/>
      <c r="K386" s="5"/>
    </row>
    <row r="387" spans="1:11" x14ac:dyDescent="0.3">
      <c r="A387" s="2" t="s">
        <v>443</v>
      </c>
      <c r="B387" s="2" t="s">
        <v>421</v>
      </c>
      <c r="C387" s="2" t="s">
        <v>66</v>
      </c>
      <c r="D387" s="11" t="str">
        <f>Names!$X$17</f>
        <v>DMSO</v>
      </c>
      <c r="E387" s="2" t="str">
        <f t="shared" si="22"/>
        <v/>
      </c>
      <c r="F387" s="11" t="str">
        <f t="shared" si="23"/>
        <v>DMSO</v>
      </c>
      <c r="G387" s="11">
        <f>Concentrations!$X$17</f>
        <v>0</v>
      </c>
      <c r="H387" s="2" t="s">
        <v>22</v>
      </c>
      <c r="I387" s="2" cm="1">
        <f t="array" aca="1" ref="I387" ca="1">IF(MOD(COLUMN(INDIRECT(B387&amp;1)),2)=1,IF(MOD(C387,2)=1,$F$1,$F$2),IF(MOD(C387,2)=1,$H$1,$H$2))</f>
        <v>0</v>
      </c>
      <c r="J387" s="16"/>
      <c r="K387" s="5"/>
    </row>
    <row r="388" spans="1:11" x14ac:dyDescent="0.3">
      <c r="A388" s="6" t="s">
        <v>444</v>
      </c>
      <c r="B388" s="6" t="s">
        <v>421</v>
      </c>
      <c r="C388" s="6" t="s">
        <v>68</v>
      </c>
      <c r="D388" s="14" t="str">
        <f>Names!$Y$17</f>
        <v>DMSO</v>
      </c>
      <c r="E388" s="6" t="str">
        <f t="shared" si="22"/>
        <v/>
      </c>
      <c r="F388" s="14" t="str">
        <f t="shared" si="23"/>
        <v>DMSO</v>
      </c>
      <c r="G388" s="14">
        <f>Concentrations!$Y$17</f>
        <v>0</v>
      </c>
      <c r="H388" s="2" t="s">
        <v>22</v>
      </c>
      <c r="I388" s="6" cm="1">
        <f t="array" aca="1" ref="I388" ca="1">IF(MOD(COLUMN(INDIRECT(B388&amp;1)),2)=1,IF(MOD(C388,2)=1,$F$1,$F$2),IF(MOD(C388,2)=1,$H$1,$H$2))</f>
        <v>0</v>
      </c>
      <c r="J388" s="17"/>
      <c r="K388" s="18"/>
    </row>
    <row r="391" spans="1:11" x14ac:dyDescent="0.3">
      <c r="D391" s="13"/>
    </row>
    <row r="392" spans="1:11" x14ac:dyDescent="0.3">
      <c r="D392" s="13"/>
    </row>
    <row r="393" spans="1:11" x14ac:dyDescent="0.3">
      <c r="D393" s="13"/>
    </row>
    <row r="394" spans="1:11" x14ac:dyDescent="0.3">
      <c r="D394" s="13"/>
    </row>
    <row r="395" spans="1:11" x14ac:dyDescent="0.3">
      <c r="D395" s="13"/>
    </row>
    <row r="396" spans="1:11" x14ac:dyDescent="0.3">
      <c r="D396" s="13"/>
    </row>
    <row r="397" spans="1:11" x14ac:dyDescent="0.3">
      <c r="D397" s="13"/>
    </row>
    <row r="398" spans="1:11" x14ac:dyDescent="0.3">
      <c r="D398" s="13"/>
    </row>
    <row r="399" spans="1:11" x14ac:dyDescent="0.3">
      <c r="D399" s="13"/>
    </row>
    <row r="400" spans="1:11" x14ac:dyDescent="0.3">
      <c r="D400" s="13"/>
    </row>
    <row r="401" spans="4:7" x14ac:dyDescent="0.3">
      <c r="D401" s="13"/>
    </row>
    <row r="402" spans="4:7" x14ac:dyDescent="0.3">
      <c r="D402" s="13"/>
    </row>
    <row r="403" spans="4:7" x14ac:dyDescent="0.3">
      <c r="D403" s="13"/>
      <c r="F403" s="13"/>
      <c r="G403" s="13"/>
    </row>
  </sheetData>
  <autoFilter ref="A4:K388" xr:uid="{00000000-0009-0000-0000-000000000000}">
    <sortState xmlns:xlrd2="http://schemas.microsoft.com/office/spreadsheetml/2017/richdata2" ref="A6:K366">
      <sortCondition ref="B4:B388"/>
    </sortState>
  </autoFilter>
  <conditionalFormatting sqref="D391">
    <cfRule type="duplicateValues" dxfId="13" priority="148"/>
  </conditionalFormatting>
  <conditionalFormatting sqref="D392">
    <cfRule type="duplicateValues" dxfId="12" priority="147"/>
  </conditionalFormatting>
  <conditionalFormatting sqref="D393">
    <cfRule type="duplicateValues" dxfId="11" priority="146"/>
  </conditionalFormatting>
  <conditionalFormatting sqref="D394">
    <cfRule type="duplicateValues" dxfId="10" priority="145"/>
  </conditionalFormatting>
  <conditionalFormatting sqref="D395">
    <cfRule type="duplicateValues" dxfId="9" priority="144"/>
  </conditionalFormatting>
  <conditionalFormatting sqref="D396">
    <cfRule type="duplicateValues" dxfId="8" priority="143"/>
  </conditionalFormatting>
  <conditionalFormatting sqref="D397">
    <cfRule type="duplicateValues" dxfId="7" priority="142"/>
  </conditionalFormatting>
  <conditionalFormatting sqref="D398">
    <cfRule type="duplicateValues" dxfId="6" priority="141"/>
  </conditionalFormatting>
  <conditionalFormatting sqref="D399">
    <cfRule type="duplicateValues" dxfId="5" priority="140"/>
  </conditionalFormatting>
  <conditionalFormatting sqref="D400">
    <cfRule type="duplicateValues" dxfId="4" priority="139"/>
  </conditionalFormatting>
  <conditionalFormatting sqref="D401">
    <cfRule type="duplicateValues" dxfId="3" priority="138"/>
  </conditionalFormatting>
  <conditionalFormatting sqref="D402">
    <cfRule type="duplicateValues" dxfId="2" priority="137"/>
  </conditionalFormatting>
  <conditionalFormatting sqref="D403">
    <cfRule type="duplicateValues" dxfId="1" priority="136"/>
  </conditionalFormatting>
  <conditionalFormatting sqref="F403:G403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CFF2-63C1-4554-A65E-D8B53020546F}">
  <dimension ref="A1:A384"/>
  <sheetViews>
    <sheetView topLeftCell="A290" workbookViewId="0">
      <selection sqref="A1:A384"/>
    </sheetView>
  </sheetViews>
  <sheetFormatPr defaultColWidth="8.796875" defaultRowHeight="15.6" x14ac:dyDescent="0.3"/>
  <sheetData>
    <row r="1" spans="1:1" x14ac:dyDescent="0.3">
      <c r="A1" s="11" t="str">
        <f>Names!$B$2</f>
        <v>DMSO</v>
      </c>
    </row>
    <row r="2" spans="1:1" x14ac:dyDescent="0.3">
      <c r="A2" s="11" t="str">
        <f>Names!$C$2</f>
        <v>DMSO</v>
      </c>
    </row>
    <row r="3" spans="1:1" x14ac:dyDescent="0.3">
      <c r="A3" s="11">
        <f>Names!$D$2</f>
        <v>0</v>
      </c>
    </row>
    <row r="4" spans="1:1" x14ac:dyDescent="0.3">
      <c r="A4" s="11">
        <f>Names!$E$2</f>
        <v>0</v>
      </c>
    </row>
    <row r="5" spans="1:1" x14ac:dyDescent="0.3">
      <c r="A5" s="11">
        <f>Names!$F$2</f>
        <v>0</v>
      </c>
    </row>
    <row r="6" spans="1:1" x14ac:dyDescent="0.3">
      <c r="A6" s="11">
        <f>Names!$G$2</f>
        <v>0</v>
      </c>
    </row>
    <row r="7" spans="1:1" x14ac:dyDescent="0.3">
      <c r="A7" s="11">
        <f>Names!$H$2</f>
        <v>0</v>
      </c>
    </row>
    <row r="8" spans="1:1" x14ac:dyDescent="0.3">
      <c r="A8" s="11">
        <f>Names!$I$2</f>
        <v>0</v>
      </c>
    </row>
    <row r="9" spans="1:1" x14ac:dyDescent="0.3">
      <c r="A9" s="11">
        <f>Names!$J$2</f>
        <v>0</v>
      </c>
    </row>
    <row r="10" spans="1:1" x14ac:dyDescent="0.3">
      <c r="A10" s="11">
        <f>Names!$K$2</f>
        <v>0</v>
      </c>
    </row>
    <row r="11" spans="1:1" x14ac:dyDescent="0.3">
      <c r="A11" s="11">
        <f>Names!$L$2</f>
        <v>0</v>
      </c>
    </row>
    <row r="12" spans="1:1" x14ac:dyDescent="0.3">
      <c r="A12" s="11">
        <f>Names!$M$2</f>
        <v>0</v>
      </c>
    </row>
    <row r="13" spans="1:1" x14ac:dyDescent="0.3">
      <c r="A13" s="11">
        <f>Names!$N$2</f>
        <v>0</v>
      </c>
    </row>
    <row r="14" spans="1:1" x14ac:dyDescent="0.3">
      <c r="A14" s="11">
        <f>Names!$O$2</f>
        <v>0</v>
      </c>
    </row>
    <row r="15" spans="1:1" x14ac:dyDescent="0.3">
      <c r="A15" s="11">
        <f>Names!$P$2</f>
        <v>0</v>
      </c>
    </row>
    <row r="16" spans="1:1" x14ac:dyDescent="0.3">
      <c r="A16" s="11">
        <f>Names!$Q$2</f>
        <v>0</v>
      </c>
    </row>
    <row r="17" spans="1:1" x14ac:dyDescent="0.3">
      <c r="A17" s="11">
        <f>Names!$R$2</f>
        <v>0</v>
      </c>
    </row>
    <row r="18" spans="1:1" x14ac:dyDescent="0.3">
      <c r="A18" s="11">
        <f>Names!$S$2</f>
        <v>0</v>
      </c>
    </row>
    <row r="19" spans="1:1" x14ac:dyDescent="0.3">
      <c r="A19" s="11">
        <f>Names!$T$2</f>
        <v>0</v>
      </c>
    </row>
    <row r="20" spans="1:1" x14ac:dyDescent="0.3">
      <c r="A20" s="11">
        <f>Names!$U$2</f>
        <v>0</v>
      </c>
    </row>
    <row r="21" spans="1:1" x14ac:dyDescent="0.3">
      <c r="A21" s="11">
        <f>Names!$V$2</f>
        <v>0</v>
      </c>
    </row>
    <row r="22" spans="1:1" x14ac:dyDescent="0.3">
      <c r="A22" s="11">
        <f>Names!$W$2</f>
        <v>0</v>
      </c>
    </row>
    <row r="23" spans="1:1" x14ac:dyDescent="0.3">
      <c r="A23" s="11" t="str">
        <f>Names!$X$2</f>
        <v>DMSO</v>
      </c>
    </row>
    <row r="24" spans="1:1" x14ac:dyDescent="0.3">
      <c r="A24" s="11" t="str">
        <f>Names!$Y$2</f>
        <v>DMSO</v>
      </c>
    </row>
    <row r="25" spans="1:1" x14ac:dyDescent="0.3">
      <c r="A25" s="11" t="str">
        <f>Names!$B$3</f>
        <v>Emetine dihydrochloride</v>
      </c>
    </row>
    <row r="26" spans="1:1" x14ac:dyDescent="0.3">
      <c r="A26" s="11" t="str">
        <f>Names!$C$3</f>
        <v>Cyclohexamide</v>
      </c>
    </row>
    <row r="27" spans="1:1" x14ac:dyDescent="0.3">
      <c r="A27" s="11">
        <f>Names!$D$3</f>
        <v>0</v>
      </c>
    </row>
    <row r="28" spans="1:1" x14ac:dyDescent="0.3">
      <c r="A28" s="11">
        <f>Names!$E$3</f>
        <v>0</v>
      </c>
    </row>
    <row r="29" spans="1:1" x14ac:dyDescent="0.3">
      <c r="A29" s="11">
        <f>Names!$F$3</f>
        <v>0</v>
      </c>
    </row>
    <row r="30" spans="1:1" x14ac:dyDescent="0.3">
      <c r="A30" s="11">
        <f>Names!$G$3</f>
        <v>0</v>
      </c>
    </row>
    <row r="31" spans="1:1" x14ac:dyDescent="0.3">
      <c r="A31" s="11">
        <f>Names!$H$3</f>
        <v>0</v>
      </c>
    </row>
    <row r="32" spans="1:1" x14ac:dyDescent="0.3">
      <c r="A32" s="11">
        <f>Names!$I$3</f>
        <v>0</v>
      </c>
    </row>
    <row r="33" spans="1:1" x14ac:dyDescent="0.3">
      <c r="A33" s="11">
        <f>Names!$J$3</f>
        <v>0</v>
      </c>
    </row>
    <row r="34" spans="1:1" x14ac:dyDescent="0.3">
      <c r="A34" s="11">
        <f>Names!$K$3</f>
        <v>0</v>
      </c>
    </row>
    <row r="35" spans="1:1" x14ac:dyDescent="0.3">
      <c r="A35" s="11">
        <f>Names!$L$3</f>
        <v>0</v>
      </c>
    </row>
    <row r="36" spans="1:1" x14ac:dyDescent="0.3">
      <c r="A36" s="11">
        <f>Names!$M$3</f>
        <v>0</v>
      </c>
    </row>
    <row r="37" spans="1:1" x14ac:dyDescent="0.3">
      <c r="A37" s="11">
        <f>Names!$N$3</f>
        <v>0</v>
      </c>
    </row>
    <row r="38" spans="1:1" x14ac:dyDescent="0.3">
      <c r="A38" s="11">
        <f>Names!$O$3</f>
        <v>0</v>
      </c>
    </row>
    <row r="39" spans="1:1" x14ac:dyDescent="0.3">
      <c r="A39" s="11">
        <f>Names!$P$3</f>
        <v>0</v>
      </c>
    </row>
    <row r="40" spans="1:1" x14ac:dyDescent="0.3">
      <c r="A40" s="11">
        <f>Names!$Q$3</f>
        <v>0</v>
      </c>
    </row>
    <row r="41" spans="1:1" x14ac:dyDescent="0.3">
      <c r="A41" s="11">
        <f>Names!$R$3</f>
        <v>0</v>
      </c>
    </row>
    <row r="42" spans="1:1" x14ac:dyDescent="0.3">
      <c r="A42" s="11">
        <f>Names!$S$3</f>
        <v>0</v>
      </c>
    </row>
    <row r="43" spans="1:1" x14ac:dyDescent="0.3">
      <c r="A43" s="11">
        <f>Names!$T$3</f>
        <v>0</v>
      </c>
    </row>
    <row r="44" spans="1:1" x14ac:dyDescent="0.3">
      <c r="A44" s="11">
        <f>Names!$U$3</f>
        <v>0</v>
      </c>
    </row>
    <row r="45" spans="1:1" x14ac:dyDescent="0.3">
      <c r="A45" s="11">
        <f>Names!$V$3</f>
        <v>0</v>
      </c>
    </row>
    <row r="46" spans="1:1" x14ac:dyDescent="0.3">
      <c r="A46" s="11">
        <f>Names!$W$3</f>
        <v>0</v>
      </c>
    </row>
    <row r="47" spans="1:1" x14ac:dyDescent="0.3">
      <c r="A47" s="11" t="str">
        <f>Names!$X$3</f>
        <v>DMSO</v>
      </c>
    </row>
    <row r="48" spans="1:1" x14ac:dyDescent="0.3">
      <c r="A48" s="11" t="str">
        <f>Names!$Y$3</f>
        <v>DMSO</v>
      </c>
    </row>
    <row r="49" spans="1:1" x14ac:dyDescent="0.3">
      <c r="A49" s="11" t="str">
        <f>Names!$B$4</f>
        <v>DMSO</v>
      </c>
    </row>
    <row r="50" spans="1:1" x14ac:dyDescent="0.3">
      <c r="A50" s="11" t="str">
        <f>Names!$C$4</f>
        <v>DMSO</v>
      </c>
    </row>
    <row r="51" spans="1:1" x14ac:dyDescent="0.3">
      <c r="A51" s="11">
        <f>Names!$D$4</f>
        <v>0</v>
      </c>
    </row>
    <row r="52" spans="1:1" x14ac:dyDescent="0.3">
      <c r="A52" s="11">
        <f>Names!$E$4</f>
        <v>0</v>
      </c>
    </row>
    <row r="53" spans="1:1" x14ac:dyDescent="0.3">
      <c r="A53" s="11">
        <f>Names!$F$4</f>
        <v>0</v>
      </c>
    </row>
    <row r="54" spans="1:1" x14ac:dyDescent="0.3">
      <c r="A54" s="11">
        <f>Names!$G$4</f>
        <v>0</v>
      </c>
    </row>
    <row r="55" spans="1:1" x14ac:dyDescent="0.3">
      <c r="A55" s="11">
        <f>Names!$H$4</f>
        <v>0</v>
      </c>
    </row>
    <row r="56" spans="1:1" x14ac:dyDescent="0.3">
      <c r="A56" s="11">
        <f>Names!$I$4</f>
        <v>0</v>
      </c>
    </row>
    <row r="57" spans="1:1" x14ac:dyDescent="0.3">
      <c r="A57" s="11">
        <f>Names!$J$4</f>
        <v>0</v>
      </c>
    </row>
    <row r="58" spans="1:1" x14ac:dyDescent="0.3">
      <c r="A58" s="11">
        <f>Names!$K$4</f>
        <v>0</v>
      </c>
    </row>
    <row r="59" spans="1:1" x14ac:dyDescent="0.3">
      <c r="A59" s="11">
        <f>Names!$L$4</f>
        <v>0</v>
      </c>
    </row>
    <row r="60" spans="1:1" x14ac:dyDescent="0.3">
      <c r="A60" s="11">
        <f>Names!$M$4</f>
        <v>0</v>
      </c>
    </row>
    <row r="61" spans="1:1" x14ac:dyDescent="0.3">
      <c r="A61" s="11">
        <f>Names!$N$4</f>
        <v>0</v>
      </c>
    </row>
    <row r="62" spans="1:1" x14ac:dyDescent="0.3">
      <c r="A62" s="11">
        <f>Names!$O$4</f>
        <v>0</v>
      </c>
    </row>
    <row r="63" spans="1:1" x14ac:dyDescent="0.3">
      <c r="A63" s="11">
        <f>Names!$P$4</f>
        <v>0</v>
      </c>
    </row>
    <row r="64" spans="1:1" x14ac:dyDescent="0.3">
      <c r="A64" s="11">
        <f>Names!$Q$4</f>
        <v>0</v>
      </c>
    </row>
    <row r="65" spans="1:1" x14ac:dyDescent="0.3">
      <c r="A65" s="11">
        <f>Names!$R$4</f>
        <v>0</v>
      </c>
    </row>
    <row r="66" spans="1:1" x14ac:dyDescent="0.3">
      <c r="A66" s="11">
        <f>Names!$S$4</f>
        <v>0</v>
      </c>
    </row>
    <row r="67" spans="1:1" x14ac:dyDescent="0.3">
      <c r="A67" s="11">
        <f>Names!$T$4</f>
        <v>0</v>
      </c>
    </row>
    <row r="68" spans="1:1" x14ac:dyDescent="0.3">
      <c r="A68" s="11">
        <f>Names!$U$4</f>
        <v>0</v>
      </c>
    </row>
    <row r="69" spans="1:1" x14ac:dyDescent="0.3">
      <c r="A69" s="11">
        <f>Names!$V$4</f>
        <v>0</v>
      </c>
    </row>
    <row r="70" spans="1:1" x14ac:dyDescent="0.3">
      <c r="A70" s="11">
        <f>Names!$W$4</f>
        <v>0</v>
      </c>
    </row>
    <row r="71" spans="1:1" x14ac:dyDescent="0.3">
      <c r="A71" s="11" t="str">
        <f>Names!$X$4</f>
        <v>DMSO</v>
      </c>
    </row>
    <row r="72" spans="1:1" x14ac:dyDescent="0.3">
      <c r="A72" s="11" t="str">
        <f>Names!$Y$4</f>
        <v>DMSO</v>
      </c>
    </row>
    <row r="73" spans="1:1" x14ac:dyDescent="0.3">
      <c r="A73" s="11" t="str">
        <f>Names!$B$5</f>
        <v>Repaglinide</v>
      </c>
    </row>
    <row r="74" spans="1:1" x14ac:dyDescent="0.3">
      <c r="A74" s="11" t="str">
        <f>Names!$C$5</f>
        <v>Parbendazol</v>
      </c>
    </row>
    <row r="75" spans="1:1" x14ac:dyDescent="0.3">
      <c r="A75" s="11">
        <f>Names!$D$5</f>
        <v>0</v>
      </c>
    </row>
    <row r="76" spans="1:1" x14ac:dyDescent="0.3">
      <c r="A76" s="11">
        <f>Names!$E$5</f>
        <v>0</v>
      </c>
    </row>
    <row r="77" spans="1:1" x14ac:dyDescent="0.3">
      <c r="A77" s="11">
        <f>Names!$F$5</f>
        <v>0</v>
      </c>
    </row>
    <row r="78" spans="1:1" x14ac:dyDescent="0.3">
      <c r="A78" s="11">
        <f>Names!$G$5</f>
        <v>0</v>
      </c>
    </row>
    <row r="79" spans="1:1" x14ac:dyDescent="0.3">
      <c r="A79" s="11">
        <f>Names!$H$5</f>
        <v>0</v>
      </c>
    </row>
    <row r="80" spans="1:1" x14ac:dyDescent="0.3">
      <c r="A80" s="11">
        <f>Names!$I$5</f>
        <v>0</v>
      </c>
    </row>
    <row r="81" spans="1:1" x14ac:dyDescent="0.3">
      <c r="A81" s="11">
        <f>Names!$J$5</f>
        <v>0</v>
      </c>
    </row>
    <row r="82" spans="1:1" x14ac:dyDescent="0.3">
      <c r="A82" s="11">
        <f>Names!$K$5</f>
        <v>0</v>
      </c>
    </row>
    <row r="83" spans="1:1" x14ac:dyDescent="0.3">
      <c r="A83" s="11">
        <f>Names!$L$5</f>
        <v>0</v>
      </c>
    </row>
    <row r="84" spans="1:1" x14ac:dyDescent="0.3">
      <c r="A84" s="11">
        <f>Names!$M$5</f>
        <v>0</v>
      </c>
    </row>
    <row r="85" spans="1:1" x14ac:dyDescent="0.3">
      <c r="A85" s="11">
        <f>Names!$N$5</f>
        <v>0</v>
      </c>
    </row>
    <row r="86" spans="1:1" x14ac:dyDescent="0.3">
      <c r="A86" s="11">
        <f>Names!$O$5</f>
        <v>0</v>
      </c>
    </row>
    <row r="87" spans="1:1" x14ac:dyDescent="0.3">
      <c r="A87" s="11">
        <f>Names!$P$5</f>
        <v>0</v>
      </c>
    </row>
    <row r="88" spans="1:1" x14ac:dyDescent="0.3">
      <c r="A88" s="11">
        <f>Names!$Q$5</f>
        <v>0</v>
      </c>
    </row>
    <row r="89" spans="1:1" x14ac:dyDescent="0.3">
      <c r="A89" s="11">
        <f>Names!$R$5</f>
        <v>0</v>
      </c>
    </row>
    <row r="90" spans="1:1" x14ac:dyDescent="0.3">
      <c r="A90" s="11">
        <f>Names!$S$5</f>
        <v>0</v>
      </c>
    </row>
    <row r="91" spans="1:1" x14ac:dyDescent="0.3">
      <c r="A91" s="11">
        <f>Names!$T$5</f>
        <v>0</v>
      </c>
    </row>
    <row r="92" spans="1:1" x14ac:dyDescent="0.3">
      <c r="A92" s="11">
        <f>Names!$U$5</f>
        <v>0</v>
      </c>
    </row>
    <row r="93" spans="1:1" x14ac:dyDescent="0.3">
      <c r="A93" s="11">
        <f>Names!$V$5</f>
        <v>0</v>
      </c>
    </row>
    <row r="94" spans="1:1" x14ac:dyDescent="0.3">
      <c r="A94" s="11">
        <f>Names!$W$5</f>
        <v>0</v>
      </c>
    </row>
    <row r="95" spans="1:1" x14ac:dyDescent="0.3">
      <c r="A95" s="11" t="str">
        <f>Names!$X$5</f>
        <v>DMSO</v>
      </c>
    </row>
    <row r="96" spans="1:1" x14ac:dyDescent="0.3">
      <c r="A96" s="11" t="str">
        <f>Names!$Y$5</f>
        <v>DMSO</v>
      </c>
    </row>
    <row r="97" spans="1:1" x14ac:dyDescent="0.3">
      <c r="A97" s="11" t="str">
        <f>Names!$B$6</f>
        <v>DMSO</v>
      </c>
    </row>
    <row r="98" spans="1:1" x14ac:dyDescent="0.3">
      <c r="A98" s="11" t="str">
        <f>Names!$C$6</f>
        <v>DMSO</v>
      </c>
    </row>
    <row r="99" spans="1:1" x14ac:dyDescent="0.3">
      <c r="A99" s="11">
        <f>Names!$D$6</f>
        <v>0</v>
      </c>
    </row>
    <row r="100" spans="1:1" x14ac:dyDescent="0.3">
      <c r="A100" s="11">
        <f>Names!$E$6</f>
        <v>0</v>
      </c>
    </row>
    <row r="101" spans="1:1" x14ac:dyDescent="0.3">
      <c r="A101" s="11">
        <f>Names!$F$6</f>
        <v>0</v>
      </c>
    </row>
    <row r="102" spans="1:1" x14ac:dyDescent="0.3">
      <c r="A102" s="11">
        <f>Names!$G$6</f>
        <v>0</v>
      </c>
    </row>
    <row r="103" spans="1:1" x14ac:dyDescent="0.3">
      <c r="A103" s="11">
        <f>Names!$H$6</f>
        <v>0</v>
      </c>
    </row>
    <row r="104" spans="1:1" x14ac:dyDescent="0.3">
      <c r="A104" s="11">
        <f>Names!$I$6</f>
        <v>0</v>
      </c>
    </row>
    <row r="105" spans="1:1" x14ac:dyDescent="0.3">
      <c r="A105" s="11">
        <f>Names!$J$6</f>
        <v>0</v>
      </c>
    </row>
    <row r="106" spans="1:1" x14ac:dyDescent="0.3">
      <c r="A106" s="11">
        <f>Names!$K$6</f>
        <v>0</v>
      </c>
    </row>
    <row r="107" spans="1:1" x14ac:dyDescent="0.3">
      <c r="A107" s="11">
        <f>Names!$L$6</f>
        <v>0</v>
      </c>
    </row>
    <row r="108" spans="1:1" x14ac:dyDescent="0.3">
      <c r="A108" s="11">
        <f>Names!$M$6</f>
        <v>0</v>
      </c>
    </row>
    <row r="109" spans="1:1" x14ac:dyDescent="0.3">
      <c r="A109" s="11">
        <f>Names!$N$6</f>
        <v>0</v>
      </c>
    </row>
    <row r="110" spans="1:1" x14ac:dyDescent="0.3">
      <c r="A110" s="11">
        <f>Names!$O$6</f>
        <v>0</v>
      </c>
    </row>
    <row r="111" spans="1:1" x14ac:dyDescent="0.3">
      <c r="A111" s="11">
        <f>Names!$P$6</f>
        <v>0</v>
      </c>
    </row>
    <row r="112" spans="1:1" x14ac:dyDescent="0.3">
      <c r="A112" s="11">
        <f>Names!$Q$6</f>
        <v>0</v>
      </c>
    </row>
    <row r="113" spans="1:1" x14ac:dyDescent="0.3">
      <c r="A113" s="11">
        <f>Names!$R$6</f>
        <v>0</v>
      </c>
    </row>
    <row r="114" spans="1:1" x14ac:dyDescent="0.3">
      <c r="A114" s="11">
        <f>Names!$S$6</f>
        <v>0</v>
      </c>
    </row>
    <row r="115" spans="1:1" x14ac:dyDescent="0.3">
      <c r="A115" s="11">
        <f>Names!$T$6</f>
        <v>0</v>
      </c>
    </row>
    <row r="116" spans="1:1" x14ac:dyDescent="0.3">
      <c r="A116" s="11">
        <f>Names!$U$6</f>
        <v>0</v>
      </c>
    </row>
    <row r="117" spans="1:1" x14ac:dyDescent="0.3">
      <c r="A117" s="11">
        <f>Names!$V$6</f>
        <v>0</v>
      </c>
    </row>
    <row r="118" spans="1:1" x14ac:dyDescent="0.3">
      <c r="A118" s="11">
        <f>Names!$W$6</f>
        <v>0</v>
      </c>
    </row>
    <row r="119" spans="1:1" x14ac:dyDescent="0.3">
      <c r="A119" s="11" t="str">
        <f>Names!$X$6</f>
        <v>DMSO</v>
      </c>
    </row>
    <row r="120" spans="1:1" x14ac:dyDescent="0.3">
      <c r="A120" s="11" t="str">
        <f>Names!$Y$6</f>
        <v>DMSO</v>
      </c>
    </row>
    <row r="121" spans="1:1" x14ac:dyDescent="0.3">
      <c r="A121" s="11" t="str">
        <f>Names!$B$7</f>
        <v>Cyclohexamide</v>
      </c>
    </row>
    <row r="122" spans="1:1" x14ac:dyDescent="0.3">
      <c r="A122" s="11" t="str">
        <f>Names!$C$7</f>
        <v>Fenbendazole</v>
      </c>
    </row>
    <row r="123" spans="1:1" x14ac:dyDescent="0.3">
      <c r="A123" s="11">
        <f>Names!$D$7</f>
        <v>0</v>
      </c>
    </row>
    <row r="124" spans="1:1" x14ac:dyDescent="0.3">
      <c r="A124" s="11">
        <f>Names!$E$7</f>
        <v>0</v>
      </c>
    </row>
    <row r="125" spans="1:1" x14ac:dyDescent="0.3">
      <c r="A125" s="11">
        <f>Names!$F$7</f>
        <v>0</v>
      </c>
    </row>
    <row r="126" spans="1:1" x14ac:dyDescent="0.3">
      <c r="A126" s="11">
        <f>Names!$G$7</f>
        <v>0</v>
      </c>
    </row>
    <row r="127" spans="1:1" x14ac:dyDescent="0.3">
      <c r="A127" s="11">
        <f>Names!$H$7</f>
        <v>0</v>
      </c>
    </row>
    <row r="128" spans="1:1" x14ac:dyDescent="0.3">
      <c r="A128" s="11">
        <f>Names!$I$7</f>
        <v>0</v>
      </c>
    </row>
    <row r="129" spans="1:1" x14ac:dyDescent="0.3">
      <c r="A129" s="11">
        <f>Names!$J$7</f>
        <v>0</v>
      </c>
    </row>
    <row r="130" spans="1:1" x14ac:dyDescent="0.3">
      <c r="A130" s="11">
        <f>Names!$K$7</f>
        <v>0</v>
      </c>
    </row>
    <row r="131" spans="1:1" x14ac:dyDescent="0.3">
      <c r="A131" s="11">
        <f>Names!$L$7</f>
        <v>0</v>
      </c>
    </row>
    <row r="132" spans="1:1" x14ac:dyDescent="0.3">
      <c r="A132" s="11">
        <f>Names!$M$7</f>
        <v>0</v>
      </c>
    </row>
    <row r="133" spans="1:1" x14ac:dyDescent="0.3">
      <c r="A133" s="11">
        <f>Names!$N$7</f>
        <v>0</v>
      </c>
    </row>
    <row r="134" spans="1:1" x14ac:dyDescent="0.3">
      <c r="A134" s="11">
        <f>Names!$O$7</f>
        <v>0</v>
      </c>
    </row>
    <row r="135" spans="1:1" x14ac:dyDescent="0.3">
      <c r="A135" s="11">
        <f>Names!$P$7</f>
        <v>0</v>
      </c>
    </row>
    <row r="136" spans="1:1" x14ac:dyDescent="0.3">
      <c r="A136" s="11">
        <f>Names!$Q$7</f>
        <v>0</v>
      </c>
    </row>
    <row r="137" spans="1:1" x14ac:dyDescent="0.3">
      <c r="A137" s="11">
        <f>Names!$R$7</f>
        <v>0</v>
      </c>
    </row>
    <row r="138" spans="1:1" x14ac:dyDescent="0.3">
      <c r="A138" s="11">
        <f>Names!$S$7</f>
        <v>0</v>
      </c>
    </row>
    <row r="139" spans="1:1" x14ac:dyDescent="0.3">
      <c r="A139" s="11">
        <f>Names!$T$7</f>
        <v>0</v>
      </c>
    </row>
    <row r="140" spans="1:1" x14ac:dyDescent="0.3">
      <c r="A140" s="11">
        <f>Names!$U$7</f>
        <v>0</v>
      </c>
    </row>
    <row r="141" spans="1:1" x14ac:dyDescent="0.3">
      <c r="A141" s="11">
        <f>Names!$V$7</f>
        <v>0</v>
      </c>
    </row>
    <row r="142" spans="1:1" x14ac:dyDescent="0.3">
      <c r="A142" s="11">
        <f>Names!$W$7</f>
        <v>0</v>
      </c>
    </row>
    <row r="143" spans="1:1" x14ac:dyDescent="0.3">
      <c r="A143" s="11" t="str">
        <f>Names!$X$7</f>
        <v>DMSO</v>
      </c>
    </row>
    <row r="144" spans="1:1" x14ac:dyDescent="0.3">
      <c r="A144" s="11" t="str">
        <f>Names!$Y$7</f>
        <v>DMSO</v>
      </c>
    </row>
    <row r="145" spans="1:1" x14ac:dyDescent="0.3">
      <c r="A145" s="11" t="str">
        <f>Names!$B$8</f>
        <v>DMSO</v>
      </c>
    </row>
    <row r="146" spans="1:1" x14ac:dyDescent="0.3">
      <c r="A146" s="11" t="str">
        <f>Names!$C$8</f>
        <v>DMSO</v>
      </c>
    </row>
    <row r="147" spans="1:1" x14ac:dyDescent="0.3">
      <c r="A147" s="11">
        <f>Names!$D$8</f>
        <v>0</v>
      </c>
    </row>
    <row r="148" spans="1:1" x14ac:dyDescent="0.3">
      <c r="A148" s="11">
        <f>Names!$E$8</f>
        <v>0</v>
      </c>
    </row>
    <row r="149" spans="1:1" x14ac:dyDescent="0.3">
      <c r="A149" s="11">
        <f>Names!$F$8</f>
        <v>0</v>
      </c>
    </row>
    <row r="150" spans="1:1" x14ac:dyDescent="0.3">
      <c r="A150" s="11">
        <f>Names!$G$8</f>
        <v>0</v>
      </c>
    </row>
    <row r="151" spans="1:1" x14ac:dyDescent="0.3">
      <c r="A151" s="11">
        <f>Names!$H$8</f>
        <v>0</v>
      </c>
    </row>
    <row r="152" spans="1:1" x14ac:dyDescent="0.3">
      <c r="A152" s="11">
        <f>Names!$I$8</f>
        <v>0</v>
      </c>
    </row>
    <row r="153" spans="1:1" x14ac:dyDescent="0.3">
      <c r="A153" s="11">
        <f>Names!$J$8</f>
        <v>0</v>
      </c>
    </row>
    <row r="154" spans="1:1" x14ac:dyDescent="0.3">
      <c r="A154" s="11">
        <f>Names!$K$8</f>
        <v>0</v>
      </c>
    </row>
    <row r="155" spans="1:1" x14ac:dyDescent="0.3">
      <c r="A155" s="11">
        <f>Names!$L$8</f>
        <v>0</v>
      </c>
    </row>
    <row r="156" spans="1:1" x14ac:dyDescent="0.3">
      <c r="A156" s="11">
        <f>Names!$M$8</f>
        <v>0</v>
      </c>
    </row>
    <row r="157" spans="1:1" x14ac:dyDescent="0.3">
      <c r="A157" s="11">
        <f>Names!$N$8</f>
        <v>0</v>
      </c>
    </row>
    <row r="158" spans="1:1" x14ac:dyDescent="0.3">
      <c r="A158" s="11">
        <f>Names!$O$8</f>
        <v>0</v>
      </c>
    </row>
    <row r="159" spans="1:1" x14ac:dyDescent="0.3">
      <c r="A159" s="11">
        <f>Names!$P$8</f>
        <v>0</v>
      </c>
    </row>
    <row r="160" spans="1:1" x14ac:dyDescent="0.3">
      <c r="A160" s="11">
        <f>Names!$Q$8</f>
        <v>0</v>
      </c>
    </row>
    <row r="161" spans="1:1" x14ac:dyDescent="0.3">
      <c r="A161" s="11">
        <f>Names!$R$8</f>
        <v>0</v>
      </c>
    </row>
    <row r="162" spans="1:1" x14ac:dyDescent="0.3">
      <c r="A162" s="11">
        <f>Names!$S$8</f>
        <v>0</v>
      </c>
    </row>
    <row r="163" spans="1:1" x14ac:dyDescent="0.3">
      <c r="A163" s="11">
        <f>Names!$T$8</f>
        <v>0</v>
      </c>
    </row>
    <row r="164" spans="1:1" x14ac:dyDescent="0.3">
      <c r="A164" s="11">
        <f>Names!$U$8</f>
        <v>0</v>
      </c>
    </row>
    <row r="165" spans="1:1" x14ac:dyDescent="0.3">
      <c r="A165" s="11">
        <f>Names!$V$8</f>
        <v>0</v>
      </c>
    </row>
    <row r="166" spans="1:1" x14ac:dyDescent="0.3">
      <c r="A166" s="11">
        <f>Names!$W$8</f>
        <v>0</v>
      </c>
    </row>
    <row r="167" spans="1:1" x14ac:dyDescent="0.3">
      <c r="A167" s="11" t="str">
        <f>Names!$X$8</f>
        <v>DMSO</v>
      </c>
    </row>
    <row r="168" spans="1:1" x14ac:dyDescent="0.3">
      <c r="A168" s="11" t="str">
        <f>Names!$Y$8</f>
        <v>DMSO</v>
      </c>
    </row>
    <row r="169" spans="1:1" x14ac:dyDescent="0.3">
      <c r="A169" s="11" t="str">
        <f>Names!$B$9</f>
        <v>Parbendazol</v>
      </c>
    </row>
    <row r="170" spans="1:1" x14ac:dyDescent="0.3">
      <c r="A170" s="11" t="str">
        <f>Names!$C$9</f>
        <v>Emetine dihydrochloride</v>
      </c>
    </row>
    <row r="171" spans="1:1" x14ac:dyDescent="0.3">
      <c r="A171" s="11">
        <f>Names!$D$9</f>
        <v>0</v>
      </c>
    </row>
    <row r="172" spans="1:1" x14ac:dyDescent="0.3">
      <c r="A172" s="11">
        <f>Names!$E$9</f>
        <v>0</v>
      </c>
    </row>
    <row r="173" spans="1:1" x14ac:dyDescent="0.3">
      <c r="A173" s="11">
        <f>Names!$F$9</f>
        <v>0</v>
      </c>
    </row>
    <row r="174" spans="1:1" x14ac:dyDescent="0.3">
      <c r="A174" s="11">
        <f>Names!$G$9</f>
        <v>0</v>
      </c>
    </row>
    <row r="175" spans="1:1" x14ac:dyDescent="0.3">
      <c r="A175" s="11">
        <f>Names!$H$9</f>
        <v>0</v>
      </c>
    </row>
    <row r="176" spans="1:1" x14ac:dyDescent="0.3">
      <c r="A176" s="11">
        <f>Names!$I$9</f>
        <v>0</v>
      </c>
    </row>
    <row r="177" spans="1:1" x14ac:dyDescent="0.3">
      <c r="A177" s="11">
        <f>Names!$J$9</f>
        <v>0</v>
      </c>
    </row>
    <row r="178" spans="1:1" x14ac:dyDescent="0.3">
      <c r="A178" s="11">
        <f>Names!$K$9</f>
        <v>0</v>
      </c>
    </row>
    <row r="179" spans="1:1" x14ac:dyDescent="0.3">
      <c r="A179" s="11">
        <f>Names!$L$9</f>
        <v>0</v>
      </c>
    </row>
    <row r="180" spans="1:1" x14ac:dyDescent="0.3">
      <c r="A180" s="11">
        <f>Names!$M$9</f>
        <v>0</v>
      </c>
    </row>
    <row r="181" spans="1:1" x14ac:dyDescent="0.3">
      <c r="A181" s="11">
        <f>Names!$N$9</f>
        <v>0</v>
      </c>
    </row>
    <row r="182" spans="1:1" x14ac:dyDescent="0.3">
      <c r="A182" s="11">
        <f>Names!$O$9</f>
        <v>0</v>
      </c>
    </row>
    <row r="183" spans="1:1" x14ac:dyDescent="0.3">
      <c r="A183" s="11">
        <f>Names!$P$9</f>
        <v>0</v>
      </c>
    </row>
    <row r="184" spans="1:1" x14ac:dyDescent="0.3">
      <c r="A184" s="11">
        <f>Names!$Q$9</f>
        <v>0</v>
      </c>
    </row>
    <row r="185" spans="1:1" x14ac:dyDescent="0.3">
      <c r="A185" s="11">
        <f>Names!$R$9</f>
        <v>0</v>
      </c>
    </row>
    <row r="186" spans="1:1" x14ac:dyDescent="0.3">
      <c r="A186" s="11">
        <f>Names!$S$9</f>
        <v>0</v>
      </c>
    </row>
    <row r="187" spans="1:1" x14ac:dyDescent="0.3">
      <c r="A187" s="11">
        <f>Names!$T$9</f>
        <v>0</v>
      </c>
    </row>
    <row r="188" spans="1:1" x14ac:dyDescent="0.3">
      <c r="A188" s="11">
        <f>Names!$U$9</f>
        <v>0</v>
      </c>
    </row>
    <row r="189" spans="1:1" x14ac:dyDescent="0.3">
      <c r="A189" s="11">
        <f>Names!$V$9</f>
        <v>0</v>
      </c>
    </row>
    <row r="190" spans="1:1" x14ac:dyDescent="0.3">
      <c r="A190" s="11">
        <f>Names!$W$9</f>
        <v>0</v>
      </c>
    </row>
    <row r="191" spans="1:1" x14ac:dyDescent="0.3">
      <c r="A191" s="11" t="str">
        <f>Names!$X$9</f>
        <v>DMSO</v>
      </c>
    </row>
    <row r="192" spans="1:1" x14ac:dyDescent="0.3">
      <c r="A192" s="11" t="str">
        <f>Names!$Y$9</f>
        <v>DMSO</v>
      </c>
    </row>
    <row r="193" spans="1:1" x14ac:dyDescent="0.3">
      <c r="A193" s="11" t="str">
        <f>Names!$B$10</f>
        <v>DMSO</v>
      </c>
    </row>
    <row r="194" spans="1:1" x14ac:dyDescent="0.3">
      <c r="A194" s="11" t="str">
        <f>Names!$C$10</f>
        <v>DMSO</v>
      </c>
    </row>
    <row r="195" spans="1:1" x14ac:dyDescent="0.3">
      <c r="A195" s="11">
        <f>Names!$D$10</f>
        <v>0</v>
      </c>
    </row>
    <row r="196" spans="1:1" x14ac:dyDescent="0.3">
      <c r="A196" s="11">
        <f>Names!$E$10</f>
        <v>0</v>
      </c>
    </row>
    <row r="197" spans="1:1" x14ac:dyDescent="0.3">
      <c r="A197" s="11">
        <f>Names!$F$10</f>
        <v>0</v>
      </c>
    </row>
    <row r="198" spans="1:1" x14ac:dyDescent="0.3">
      <c r="A198" s="11">
        <f>Names!$G$10</f>
        <v>0</v>
      </c>
    </row>
    <row r="199" spans="1:1" x14ac:dyDescent="0.3">
      <c r="A199" s="11">
        <f>Names!$H$10</f>
        <v>0</v>
      </c>
    </row>
    <row r="200" spans="1:1" x14ac:dyDescent="0.3">
      <c r="A200" s="11">
        <f>Names!$I$10</f>
        <v>0</v>
      </c>
    </row>
    <row r="201" spans="1:1" x14ac:dyDescent="0.3">
      <c r="A201" s="11">
        <f>Names!$J$10</f>
        <v>0</v>
      </c>
    </row>
    <row r="202" spans="1:1" x14ac:dyDescent="0.3">
      <c r="A202" s="11">
        <f>Names!$K$10</f>
        <v>0</v>
      </c>
    </row>
    <row r="203" spans="1:1" x14ac:dyDescent="0.3">
      <c r="A203" s="11">
        <f>Names!$L$10</f>
        <v>0</v>
      </c>
    </row>
    <row r="204" spans="1:1" x14ac:dyDescent="0.3">
      <c r="A204" s="11">
        <f>Names!$M$10</f>
        <v>0</v>
      </c>
    </row>
    <row r="205" spans="1:1" x14ac:dyDescent="0.3">
      <c r="A205" s="11">
        <f>Names!$N$10</f>
        <v>0</v>
      </c>
    </row>
    <row r="206" spans="1:1" x14ac:dyDescent="0.3">
      <c r="A206" s="11">
        <f>Names!$O$10</f>
        <v>0</v>
      </c>
    </row>
    <row r="207" spans="1:1" x14ac:dyDescent="0.3">
      <c r="A207" s="11">
        <f>Names!$P$10</f>
        <v>0</v>
      </c>
    </row>
    <row r="208" spans="1:1" x14ac:dyDescent="0.3">
      <c r="A208" s="11">
        <f>Names!$Q$10</f>
        <v>0</v>
      </c>
    </row>
    <row r="209" spans="1:1" x14ac:dyDescent="0.3">
      <c r="A209" s="11">
        <f>Names!$R$10</f>
        <v>0</v>
      </c>
    </row>
    <row r="210" spans="1:1" x14ac:dyDescent="0.3">
      <c r="A210" s="11">
        <f>Names!$S$10</f>
        <v>0</v>
      </c>
    </row>
    <row r="211" spans="1:1" x14ac:dyDescent="0.3">
      <c r="A211" s="11">
        <f>Names!$T$10</f>
        <v>0</v>
      </c>
    </row>
    <row r="212" spans="1:1" x14ac:dyDescent="0.3">
      <c r="A212" s="11">
        <f>Names!$U$10</f>
        <v>0</v>
      </c>
    </row>
    <row r="213" spans="1:1" x14ac:dyDescent="0.3">
      <c r="A213" s="11">
        <f>Names!$V$10</f>
        <v>0</v>
      </c>
    </row>
    <row r="214" spans="1:1" x14ac:dyDescent="0.3">
      <c r="A214" s="11">
        <f>Names!$W$10</f>
        <v>0</v>
      </c>
    </row>
    <row r="215" spans="1:1" x14ac:dyDescent="0.3">
      <c r="A215" s="11" t="str">
        <f>Names!$X$10</f>
        <v>DMSO</v>
      </c>
    </row>
    <row r="216" spans="1:1" x14ac:dyDescent="0.3">
      <c r="A216" s="11" t="str">
        <f>Names!$Y$10</f>
        <v>DMSO</v>
      </c>
    </row>
    <row r="217" spans="1:1" x14ac:dyDescent="0.3">
      <c r="A217" s="11" t="str">
        <f>Names!$B$11</f>
        <v>Fenbendazole</v>
      </c>
    </row>
    <row r="218" spans="1:1" x14ac:dyDescent="0.3">
      <c r="A218" s="11" t="str">
        <f>Names!$C$11</f>
        <v>Repaglinide</v>
      </c>
    </row>
    <row r="219" spans="1:1" x14ac:dyDescent="0.3">
      <c r="A219" s="11">
        <f>Names!$D$11</f>
        <v>0</v>
      </c>
    </row>
    <row r="220" spans="1:1" x14ac:dyDescent="0.3">
      <c r="A220" s="11">
        <f>Names!$E$11</f>
        <v>0</v>
      </c>
    </row>
    <row r="221" spans="1:1" x14ac:dyDescent="0.3">
      <c r="A221" s="11">
        <f>Names!$F$11</f>
        <v>0</v>
      </c>
    </row>
    <row r="222" spans="1:1" x14ac:dyDescent="0.3">
      <c r="A222" s="11">
        <f>Names!$G$11</f>
        <v>0</v>
      </c>
    </row>
    <row r="223" spans="1:1" x14ac:dyDescent="0.3">
      <c r="A223" s="11">
        <f>Names!$H$11</f>
        <v>0</v>
      </c>
    </row>
    <row r="224" spans="1:1" x14ac:dyDescent="0.3">
      <c r="A224" s="11">
        <f>Names!$I$11</f>
        <v>0</v>
      </c>
    </row>
    <row r="225" spans="1:1" x14ac:dyDescent="0.3">
      <c r="A225" s="11">
        <f>Names!$J$11</f>
        <v>0</v>
      </c>
    </row>
    <row r="226" spans="1:1" x14ac:dyDescent="0.3">
      <c r="A226" s="11">
        <f>Names!$K$11</f>
        <v>0</v>
      </c>
    </row>
    <row r="227" spans="1:1" x14ac:dyDescent="0.3">
      <c r="A227" s="11">
        <f>Names!$L$11</f>
        <v>0</v>
      </c>
    </row>
    <row r="228" spans="1:1" x14ac:dyDescent="0.3">
      <c r="A228" s="11">
        <f>Names!$M$11</f>
        <v>0</v>
      </c>
    </row>
    <row r="229" spans="1:1" x14ac:dyDescent="0.3">
      <c r="A229" s="11">
        <f>Names!$N$11</f>
        <v>0</v>
      </c>
    </row>
    <row r="230" spans="1:1" x14ac:dyDescent="0.3">
      <c r="A230" s="11">
        <f>Names!$O$11</f>
        <v>0</v>
      </c>
    </row>
    <row r="231" spans="1:1" x14ac:dyDescent="0.3">
      <c r="A231" s="11">
        <f>Names!$P$11</f>
        <v>0</v>
      </c>
    </row>
    <row r="232" spans="1:1" x14ac:dyDescent="0.3">
      <c r="A232" s="11">
        <f>Names!$Q$11</f>
        <v>0</v>
      </c>
    </row>
    <row r="233" spans="1:1" x14ac:dyDescent="0.3">
      <c r="A233" s="11">
        <f>Names!$R$11</f>
        <v>0</v>
      </c>
    </row>
    <row r="234" spans="1:1" x14ac:dyDescent="0.3">
      <c r="A234" s="11">
        <f>Names!$S$11</f>
        <v>0</v>
      </c>
    </row>
    <row r="235" spans="1:1" x14ac:dyDescent="0.3">
      <c r="A235" s="11">
        <f>Names!$T$11</f>
        <v>0</v>
      </c>
    </row>
    <row r="236" spans="1:1" x14ac:dyDescent="0.3">
      <c r="A236" s="11">
        <f>Names!$U$11</f>
        <v>0</v>
      </c>
    </row>
    <row r="237" spans="1:1" x14ac:dyDescent="0.3">
      <c r="A237" s="11">
        <f>Names!$V$11</f>
        <v>0</v>
      </c>
    </row>
    <row r="238" spans="1:1" x14ac:dyDescent="0.3">
      <c r="A238" s="11">
        <f>Names!$W$11</f>
        <v>0</v>
      </c>
    </row>
    <row r="239" spans="1:1" x14ac:dyDescent="0.3">
      <c r="A239" s="11" t="str">
        <f>Names!$X$11</f>
        <v>DMSO</v>
      </c>
    </row>
    <row r="240" spans="1:1" x14ac:dyDescent="0.3">
      <c r="A240" s="11" t="str">
        <f>Names!$Y$11</f>
        <v>DMSO</v>
      </c>
    </row>
    <row r="241" spans="1:1" x14ac:dyDescent="0.3">
      <c r="A241" s="11" t="str">
        <f>Names!$B$12</f>
        <v>DMSO</v>
      </c>
    </row>
    <row r="242" spans="1:1" x14ac:dyDescent="0.3">
      <c r="A242" s="11" t="str">
        <f>Names!$C$12</f>
        <v>DMSO</v>
      </c>
    </row>
    <row r="243" spans="1:1" x14ac:dyDescent="0.3">
      <c r="A243" s="11">
        <f>Names!$D$12</f>
        <v>0</v>
      </c>
    </row>
    <row r="244" spans="1:1" x14ac:dyDescent="0.3">
      <c r="A244" s="11">
        <f>Names!$E$12</f>
        <v>0</v>
      </c>
    </row>
    <row r="245" spans="1:1" x14ac:dyDescent="0.3">
      <c r="A245" s="11">
        <f>Names!$F$12</f>
        <v>0</v>
      </c>
    </row>
    <row r="246" spans="1:1" x14ac:dyDescent="0.3">
      <c r="A246" s="11">
        <f>Names!$G$12</f>
        <v>0</v>
      </c>
    </row>
    <row r="247" spans="1:1" x14ac:dyDescent="0.3">
      <c r="A247" s="11">
        <f>Names!$H$12</f>
        <v>0</v>
      </c>
    </row>
    <row r="248" spans="1:1" x14ac:dyDescent="0.3">
      <c r="A248" s="11">
        <f>Names!$I$12</f>
        <v>0</v>
      </c>
    </row>
    <row r="249" spans="1:1" x14ac:dyDescent="0.3">
      <c r="A249" s="11">
        <f>Names!$J$12</f>
        <v>0</v>
      </c>
    </row>
    <row r="250" spans="1:1" x14ac:dyDescent="0.3">
      <c r="A250" s="11">
        <f>Names!$K$12</f>
        <v>0</v>
      </c>
    </row>
    <row r="251" spans="1:1" x14ac:dyDescent="0.3">
      <c r="A251" s="11">
        <f>Names!$L$12</f>
        <v>0</v>
      </c>
    </row>
    <row r="252" spans="1:1" x14ac:dyDescent="0.3">
      <c r="A252" s="11">
        <f>Names!$M$12</f>
        <v>0</v>
      </c>
    </row>
    <row r="253" spans="1:1" x14ac:dyDescent="0.3">
      <c r="A253" s="11">
        <f>Names!$N$12</f>
        <v>0</v>
      </c>
    </row>
    <row r="254" spans="1:1" x14ac:dyDescent="0.3">
      <c r="A254" s="11">
        <f>Names!$O$12</f>
        <v>0</v>
      </c>
    </row>
    <row r="255" spans="1:1" x14ac:dyDescent="0.3">
      <c r="A255" s="11">
        <f>Names!$P$12</f>
        <v>0</v>
      </c>
    </row>
    <row r="256" spans="1:1" x14ac:dyDescent="0.3">
      <c r="A256" s="11">
        <f>Names!$Q$12</f>
        <v>0</v>
      </c>
    </row>
    <row r="257" spans="1:1" x14ac:dyDescent="0.3">
      <c r="A257" s="11">
        <f>Names!$R$12</f>
        <v>0</v>
      </c>
    </row>
    <row r="258" spans="1:1" x14ac:dyDescent="0.3">
      <c r="A258" s="11">
        <f>Names!$S$12</f>
        <v>0</v>
      </c>
    </row>
    <row r="259" spans="1:1" x14ac:dyDescent="0.3">
      <c r="A259" s="11">
        <f>Names!$T$12</f>
        <v>0</v>
      </c>
    </row>
    <row r="260" spans="1:1" x14ac:dyDescent="0.3">
      <c r="A260" s="11">
        <f>Names!$U$12</f>
        <v>0</v>
      </c>
    </row>
    <row r="261" spans="1:1" x14ac:dyDescent="0.3">
      <c r="A261" s="11">
        <f>Names!$V$12</f>
        <v>0</v>
      </c>
    </row>
    <row r="262" spans="1:1" x14ac:dyDescent="0.3">
      <c r="A262" s="11">
        <f>Names!$W$12</f>
        <v>0</v>
      </c>
    </row>
    <row r="263" spans="1:1" x14ac:dyDescent="0.3">
      <c r="A263" s="11" t="str">
        <f>Names!$X$12</f>
        <v>DMSO</v>
      </c>
    </row>
    <row r="264" spans="1:1" x14ac:dyDescent="0.3">
      <c r="A264" s="11" t="str">
        <f>Names!$Y$12</f>
        <v>DMSO</v>
      </c>
    </row>
    <row r="265" spans="1:1" x14ac:dyDescent="0.3">
      <c r="A265" s="11" t="str">
        <f>Names!$B$13</f>
        <v>Emetine dihydrochloride</v>
      </c>
    </row>
    <row r="266" spans="1:1" x14ac:dyDescent="0.3">
      <c r="A266" s="11" t="str">
        <f>Names!$C$13</f>
        <v>Cyclohexamide</v>
      </c>
    </row>
    <row r="267" spans="1:1" x14ac:dyDescent="0.3">
      <c r="A267" s="11">
        <f>Names!$D$13</f>
        <v>0</v>
      </c>
    </row>
    <row r="268" spans="1:1" x14ac:dyDescent="0.3">
      <c r="A268" s="11">
        <f>Names!$E$13</f>
        <v>0</v>
      </c>
    </row>
    <row r="269" spans="1:1" x14ac:dyDescent="0.3">
      <c r="A269" s="11">
        <f>Names!$F$13</f>
        <v>0</v>
      </c>
    </row>
    <row r="270" spans="1:1" x14ac:dyDescent="0.3">
      <c r="A270" s="11">
        <f>Names!$G$13</f>
        <v>0</v>
      </c>
    </row>
    <row r="271" spans="1:1" x14ac:dyDescent="0.3">
      <c r="A271" s="11">
        <f>Names!$H$13</f>
        <v>0</v>
      </c>
    </row>
    <row r="272" spans="1:1" x14ac:dyDescent="0.3">
      <c r="A272" s="11">
        <f>Names!$I$13</f>
        <v>0</v>
      </c>
    </row>
    <row r="273" spans="1:1" x14ac:dyDescent="0.3">
      <c r="A273" s="11">
        <f>Names!$J$13</f>
        <v>0</v>
      </c>
    </row>
    <row r="274" spans="1:1" x14ac:dyDescent="0.3">
      <c r="A274" s="11">
        <f>Names!$K$13</f>
        <v>0</v>
      </c>
    </row>
    <row r="275" spans="1:1" x14ac:dyDescent="0.3">
      <c r="A275" s="11">
        <f>Names!$L$13</f>
        <v>0</v>
      </c>
    </row>
    <row r="276" spans="1:1" x14ac:dyDescent="0.3">
      <c r="A276" s="11">
        <f>Names!$M$13</f>
        <v>0</v>
      </c>
    </row>
    <row r="277" spans="1:1" x14ac:dyDescent="0.3">
      <c r="A277" s="11">
        <f>Names!$N$13</f>
        <v>0</v>
      </c>
    </row>
    <row r="278" spans="1:1" x14ac:dyDescent="0.3">
      <c r="A278" s="11">
        <f>Names!$O$13</f>
        <v>0</v>
      </c>
    </row>
    <row r="279" spans="1:1" x14ac:dyDescent="0.3">
      <c r="A279" s="11">
        <f>Names!$P$13</f>
        <v>0</v>
      </c>
    </row>
    <row r="280" spans="1:1" x14ac:dyDescent="0.3">
      <c r="A280" s="11">
        <f>Names!$Q$13</f>
        <v>0</v>
      </c>
    </row>
    <row r="281" spans="1:1" x14ac:dyDescent="0.3">
      <c r="A281" s="11">
        <f>Names!$R$13</f>
        <v>0</v>
      </c>
    </row>
    <row r="282" spans="1:1" x14ac:dyDescent="0.3">
      <c r="A282" s="11">
        <f>Names!$S$13</f>
        <v>0</v>
      </c>
    </row>
    <row r="283" spans="1:1" x14ac:dyDescent="0.3">
      <c r="A283" s="11">
        <f>Names!$T$13</f>
        <v>0</v>
      </c>
    </row>
    <row r="284" spans="1:1" x14ac:dyDescent="0.3">
      <c r="A284" s="11">
        <f>Names!$U$13</f>
        <v>0</v>
      </c>
    </row>
    <row r="285" spans="1:1" x14ac:dyDescent="0.3">
      <c r="A285" s="11">
        <f>Names!$V$13</f>
        <v>0</v>
      </c>
    </row>
    <row r="286" spans="1:1" x14ac:dyDescent="0.3">
      <c r="A286" s="11">
        <f>Names!$W$13</f>
        <v>0</v>
      </c>
    </row>
    <row r="287" spans="1:1" x14ac:dyDescent="0.3">
      <c r="A287" s="11" t="str">
        <f>Names!$X$13</f>
        <v>DMSO</v>
      </c>
    </row>
    <row r="288" spans="1:1" x14ac:dyDescent="0.3">
      <c r="A288" s="11" t="str">
        <f>Names!$Y$13</f>
        <v>DMSO</v>
      </c>
    </row>
    <row r="289" spans="1:1" x14ac:dyDescent="0.3">
      <c r="A289" s="11" t="str">
        <f>Names!$B$14</f>
        <v>DMSO</v>
      </c>
    </row>
    <row r="290" spans="1:1" x14ac:dyDescent="0.3">
      <c r="A290" s="11" t="str">
        <f>Names!$C$14</f>
        <v>DMSO</v>
      </c>
    </row>
    <row r="291" spans="1:1" x14ac:dyDescent="0.3">
      <c r="A291" s="11">
        <f>Names!$D$14</f>
        <v>0</v>
      </c>
    </row>
    <row r="292" spans="1:1" x14ac:dyDescent="0.3">
      <c r="A292" s="11">
        <f>Names!$E$14</f>
        <v>0</v>
      </c>
    </row>
    <row r="293" spans="1:1" x14ac:dyDescent="0.3">
      <c r="A293" s="11">
        <f>Names!$F$14</f>
        <v>0</v>
      </c>
    </row>
    <row r="294" spans="1:1" x14ac:dyDescent="0.3">
      <c r="A294" s="11">
        <f>Names!$G$14</f>
        <v>0</v>
      </c>
    </row>
    <row r="295" spans="1:1" x14ac:dyDescent="0.3">
      <c r="A295" s="11">
        <f>Names!$H$14</f>
        <v>0</v>
      </c>
    </row>
    <row r="296" spans="1:1" x14ac:dyDescent="0.3">
      <c r="A296" s="11">
        <f>Names!$I$14</f>
        <v>0</v>
      </c>
    </row>
    <row r="297" spans="1:1" x14ac:dyDescent="0.3">
      <c r="A297" s="11">
        <f>Names!$J$14</f>
        <v>0</v>
      </c>
    </row>
    <row r="298" spans="1:1" x14ac:dyDescent="0.3">
      <c r="A298" s="11">
        <f>Names!$K$14</f>
        <v>0</v>
      </c>
    </row>
    <row r="299" spans="1:1" x14ac:dyDescent="0.3">
      <c r="A299" s="11">
        <f>Names!$L$14</f>
        <v>0</v>
      </c>
    </row>
    <row r="300" spans="1:1" x14ac:dyDescent="0.3">
      <c r="A300" s="11">
        <f>Names!$M$14</f>
        <v>0</v>
      </c>
    </row>
    <row r="301" spans="1:1" x14ac:dyDescent="0.3">
      <c r="A301" s="11">
        <f>Names!$N$14</f>
        <v>0</v>
      </c>
    </row>
    <row r="302" spans="1:1" x14ac:dyDescent="0.3">
      <c r="A302" s="11">
        <f>Names!$O$14</f>
        <v>0</v>
      </c>
    </row>
    <row r="303" spans="1:1" x14ac:dyDescent="0.3">
      <c r="A303" s="11">
        <f>Names!$P$14</f>
        <v>0</v>
      </c>
    </row>
    <row r="304" spans="1:1" x14ac:dyDescent="0.3">
      <c r="A304" s="11">
        <f>Names!$Q$14</f>
        <v>0</v>
      </c>
    </row>
    <row r="305" spans="1:1" x14ac:dyDescent="0.3">
      <c r="A305" s="11">
        <f>Names!$R$14</f>
        <v>0</v>
      </c>
    </row>
    <row r="306" spans="1:1" x14ac:dyDescent="0.3">
      <c r="A306" s="11">
        <f>Names!$S$14</f>
        <v>0</v>
      </c>
    </row>
    <row r="307" spans="1:1" x14ac:dyDescent="0.3">
      <c r="A307" s="11">
        <f>Names!$T$14</f>
        <v>0</v>
      </c>
    </row>
    <row r="308" spans="1:1" x14ac:dyDescent="0.3">
      <c r="A308" s="11">
        <f>Names!$U$14</f>
        <v>0</v>
      </c>
    </row>
    <row r="309" spans="1:1" x14ac:dyDescent="0.3">
      <c r="A309" s="11">
        <f>Names!$V$14</f>
        <v>0</v>
      </c>
    </row>
    <row r="310" spans="1:1" x14ac:dyDescent="0.3">
      <c r="A310" s="11">
        <f>Names!$W$14</f>
        <v>0</v>
      </c>
    </row>
    <row r="311" spans="1:1" x14ac:dyDescent="0.3">
      <c r="A311" s="11" t="str">
        <f>Names!$X$14</f>
        <v>DMSO</v>
      </c>
    </row>
    <row r="312" spans="1:1" x14ac:dyDescent="0.3">
      <c r="A312" s="11" t="str">
        <f>Names!$Y$14</f>
        <v>DMSO</v>
      </c>
    </row>
    <row r="313" spans="1:1" x14ac:dyDescent="0.3">
      <c r="A313" s="11" t="str">
        <f>Names!$B$15</f>
        <v>Repaglinide</v>
      </c>
    </row>
    <row r="314" spans="1:1" x14ac:dyDescent="0.3">
      <c r="A314" s="11" t="str">
        <f>Names!$C$15</f>
        <v>Parbendazol</v>
      </c>
    </row>
    <row r="315" spans="1:1" x14ac:dyDescent="0.3">
      <c r="A315" s="11">
        <f>Names!$D$15</f>
        <v>0</v>
      </c>
    </row>
    <row r="316" spans="1:1" x14ac:dyDescent="0.3">
      <c r="A316" s="11">
        <f>Names!$E$15</f>
        <v>0</v>
      </c>
    </row>
    <row r="317" spans="1:1" x14ac:dyDescent="0.3">
      <c r="A317" s="11">
        <f>Names!$F$15</f>
        <v>0</v>
      </c>
    </row>
    <row r="318" spans="1:1" x14ac:dyDescent="0.3">
      <c r="A318" s="11">
        <f>Names!$G$15</f>
        <v>0</v>
      </c>
    </row>
    <row r="319" spans="1:1" x14ac:dyDescent="0.3">
      <c r="A319" s="11">
        <f>Names!$H$15</f>
        <v>0</v>
      </c>
    </row>
    <row r="320" spans="1:1" x14ac:dyDescent="0.3">
      <c r="A320" s="11">
        <f>Names!$I$15</f>
        <v>0</v>
      </c>
    </row>
    <row r="321" spans="1:1" x14ac:dyDescent="0.3">
      <c r="A321" s="11">
        <f>Names!$J$15</f>
        <v>0</v>
      </c>
    </row>
    <row r="322" spans="1:1" x14ac:dyDescent="0.3">
      <c r="A322" s="11">
        <f>Names!$K$15</f>
        <v>0</v>
      </c>
    </row>
    <row r="323" spans="1:1" x14ac:dyDescent="0.3">
      <c r="A323" s="11">
        <f>Names!$L$15</f>
        <v>0</v>
      </c>
    </row>
    <row r="324" spans="1:1" x14ac:dyDescent="0.3">
      <c r="A324" s="11">
        <f>Names!$M$15</f>
        <v>0</v>
      </c>
    </row>
    <row r="325" spans="1:1" x14ac:dyDescent="0.3">
      <c r="A325" s="11">
        <f>Names!$N$15</f>
        <v>0</v>
      </c>
    </row>
    <row r="326" spans="1:1" x14ac:dyDescent="0.3">
      <c r="A326" s="11">
        <f>Names!$O$15</f>
        <v>0</v>
      </c>
    </row>
    <row r="327" spans="1:1" x14ac:dyDescent="0.3">
      <c r="A327" s="11">
        <f>Names!$P$15</f>
        <v>0</v>
      </c>
    </row>
    <row r="328" spans="1:1" x14ac:dyDescent="0.3">
      <c r="A328" s="11">
        <f>Names!$Q$15</f>
        <v>0</v>
      </c>
    </row>
    <row r="329" spans="1:1" x14ac:dyDescent="0.3">
      <c r="A329" s="11">
        <f>Names!$R$15</f>
        <v>0</v>
      </c>
    </row>
    <row r="330" spans="1:1" x14ac:dyDescent="0.3">
      <c r="A330" s="11">
        <f>Names!$S$15</f>
        <v>0</v>
      </c>
    </row>
    <row r="331" spans="1:1" x14ac:dyDescent="0.3">
      <c r="A331" s="11">
        <f>Names!$T$15</f>
        <v>0</v>
      </c>
    </row>
    <row r="332" spans="1:1" x14ac:dyDescent="0.3">
      <c r="A332" s="11">
        <f>Names!$U$15</f>
        <v>0</v>
      </c>
    </row>
    <row r="333" spans="1:1" x14ac:dyDescent="0.3">
      <c r="A333" s="11">
        <f>Names!$V$15</f>
        <v>0</v>
      </c>
    </row>
    <row r="334" spans="1:1" x14ac:dyDescent="0.3">
      <c r="A334" s="11">
        <f>Names!$W$15</f>
        <v>0</v>
      </c>
    </row>
    <row r="335" spans="1:1" x14ac:dyDescent="0.3">
      <c r="A335" s="11" t="str">
        <f>Names!$X$15</f>
        <v>DMSO</v>
      </c>
    </row>
    <row r="336" spans="1:1" x14ac:dyDescent="0.3">
      <c r="A336" s="11" t="str">
        <f>Names!$Y$15</f>
        <v>DMSO</v>
      </c>
    </row>
    <row r="337" spans="1:1" x14ac:dyDescent="0.3">
      <c r="A337" s="11" t="str">
        <f>Names!$B$16</f>
        <v>DMSO</v>
      </c>
    </row>
    <row r="338" spans="1:1" x14ac:dyDescent="0.3">
      <c r="A338" s="11" t="str">
        <f>Names!$C$16</f>
        <v>DMSO</v>
      </c>
    </row>
    <row r="339" spans="1:1" x14ac:dyDescent="0.3">
      <c r="A339" s="11">
        <f>Names!$D$16</f>
        <v>0</v>
      </c>
    </row>
    <row r="340" spans="1:1" x14ac:dyDescent="0.3">
      <c r="A340" s="11">
        <f>Names!$E$16</f>
        <v>0</v>
      </c>
    </row>
    <row r="341" spans="1:1" x14ac:dyDescent="0.3">
      <c r="A341" s="11">
        <f>Names!$F$16</f>
        <v>0</v>
      </c>
    </row>
    <row r="342" spans="1:1" x14ac:dyDescent="0.3">
      <c r="A342" s="11">
        <f>Names!$G$16</f>
        <v>0</v>
      </c>
    </row>
    <row r="343" spans="1:1" x14ac:dyDescent="0.3">
      <c r="A343" s="11">
        <f>Names!$H$16</f>
        <v>0</v>
      </c>
    </row>
    <row r="344" spans="1:1" x14ac:dyDescent="0.3">
      <c r="A344" s="11">
        <f>Names!$I$16</f>
        <v>0</v>
      </c>
    </row>
    <row r="345" spans="1:1" x14ac:dyDescent="0.3">
      <c r="A345" s="11">
        <f>Names!$J$16</f>
        <v>0</v>
      </c>
    </row>
    <row r="346" spans="1:1" x14ac:dyDescent="0.3">
      <c r="A346" s="11">
        <f>Names!$K$16</f>
        <v>0</v>
      </c>
    </row>
    <row r="347" spans="1:1" x14ac:dyDescent="0.3">
      <c r="A347" s="11">
        <f>Names!$L$16</f>
        <v>0</v>
      </c>
    </row>
    <row r="348" spans="1:1" x14ac:dyDescent="0.3">
      <c r="A348" s="11">
        <f>Names!$M$16</f>
        <v>0</v>
      </c>
    </row>
    <row r="349" spans="1:1" x14ac:dyDescent="0.3">
      <c r="A349" s="11">
        <f>Names!$N$16</f>
        <v>0</v>
      </c>
    </row>
    <row r="350" spans="1:1" x14ac:dyDescent="0.3">
      <c r="A350" s="11">
        <f>Names!$O$16</f>
        <v>0</v>
      </c>
    </row>
    <row r="351" spans="1:1" x14ac:dyDescent="0.3">
      <c r="A351" s="11">
        <f>Names!$P$16</f>
        <v>0</v>
      </c>
    </row>
    <row r="352" spans="1:1" x14ac:dyDescent="0.3">
      <c r="A352" s="11">
        <f>Names!$Q$16</f>
        <v>0</v>
      </c>
    </row>
    <row r="353" spans="1:1" x14ac:dyDescent="0.3">
      <c r="A353" s="11">
        <f>Names!$R$16</f>
        <v>0</v>
      </c>
    </row>
    <row r="354" spans="1:1" x14ac:dyDescent="0.3">
      <c r="A354" s="11">
        <f>Names!$S$16</f>
        <v>0</v>
      </c>
    </row>
    <row r="355" spans="1:1" x14ac:dyDescent="0.3">
      <c r="A355" s="11">
        <f>Names!$T$16</f>
        <v>0</v>
      </c>
    </row>
    <row r="356" spans="1:1" x14ac:dyDescent="0.3">
      <c r="A356" s="11">
        <f>Names!$U$16</f>
        <v>0</v>
      </c>
    </row>
    <row r="357" spans="1:1" x14ac:dyDescent="0.3">
      <c r="A357" s="11">
        <f>Names!$V$16</f>
        <v>0</v>
      </c>
    </row>
    <row r="358" spans="1:1" x14ac:dyDescent="0.3">
      <c r="A358" s="11">
        <f>Names!$W$16</f>
        <v>0</v>
      </c>
    </row>
    <row r="359" spans="1:1" x14ac:dyDescent="0.3">
      <c r="A359" s="11" t="str">
        <f>Names!$X$16</f>
        <v>DMSO</v>
      </c>
    </row>
    <row r="360" spans="1:1" x14ac:dyDescent="0.3">
      <c r="A360" s="11" t="str">
        <f>Names!$Y$16</f>
        <v>DMSO</v>
      </c>
    </row>
    <row r="361" spans="1:1" x14ac:dyDescent="0.3">
      <c r="A361" s="11" t="str">
        <f>Names!$B$17</f>
        <v>DMSO</v>
      </c>
    </row>
    <row r="362" spans="1:1" x14ac:dyDescent="0.3">
      <c r="A362" s="11" t="str">
        <f>Names!$C$17</f>
        <v>Fenbendazole</v>
      </c>
    </row>
    <row r="363" spans="1:1" x14ac:dyDescent="0.3">
      <c r="A363" s="11">
        <f>Names!$D$17</f>
        <v>0</v>
      </c>
    </row>
    <row r="364" spans="1:1" x14ac:dyDescent="0.3">
      <c r="A364" s="11">
        <f>Names!$E$17</f>
        <v>0</v>
      </c>
    </row>
    <row r="365" spans="1:1" x14ac:dyDescent="0.3">
      <c r="A365" s="11">
        <f>Names!$F$17</f>
        <v>0</v>
      </c>
    </row>
    <row r="366" spans="1:1" x14ac:dyDescent="0.3">
      <c r="A366" s="11">
        <f>Names!$G$17</f>
        <v>0</v>
      </c>
    </row>
    <row r="367" spans="1:1" x14ac:dyDescent="0.3">
      <c r="A367" s="11">
        <f>Names!$H$17</f>
        <v>0</v>
      </c>
    </row>
    <row r="368" spans="1:1" x14ac:dyDescent="0.3">
      <c r="A368" s="11">
        <f>Names!$I$17</f>
        <v>0</v>
      </c>
    </row>
    <row r="369" spans="1:1" x14ac:dyDescent="0.3">
      <c r="A369" s="11">
        <f>Names!$J$17</f>
        <v>0</v>
      </c>
    </row>
    <row r="370" spans="1:1" x14ac:dyDescent="0.3">
      <c r="A370" s="11">
        <f>Names!$K$17</f>
        <v>0</v>
      </c>
    </row>
    <row r="371" spans="1:1" x14ac:dyDescent="0.3">
      <c r="A371" s="11">
        <f>Names!$L$17</f>
        <v>0</v>
      </c>
    </row>
    <row r="372" spans="1:1" x14ac:dyDescent="0.3">
      <c r="A372" s="11">
        <f>Names!$M$17</f>
        <v>0</v>
      </c>
    </row>
    <row r="373" spans="1:1" x14ac:dyDescent="0.3">
      <c r="A373" s="11">
        <f>Names!$N$17</f>
        <v>0</v>
      </c>
    </row>
    <row r="374" spans="1:1" x14ac:dyDescent="0.3">
      <c r="A374" s="11">
        <f>Names!$O$17</f>
        <v>0</v>
      </c>
    </row>
    <row r="375" spans="1:1" x14ac:dyDescent="0.3">
      <c r="A375" s="11">
        <f>Names!$P$17</f>
        <v>0</v>
      </c>
    </row>
    <row r="376" spans="1:1" x14ac:dyDescent="0.3">
      <c r="A376" s="11">
        <f>Names!$Q$17</f>
        <v>0</v>
      </c>
    </row>
    <row r="377" spans="1:1" x14ac:dyDescent="0.3">
      <c r="A377" s="11">
        <f>Names!$R$17</f>
        <v>0</v>
      </c>
    </row>
    <row r="378" spans="1:1" x14ac:dyDescent="0.3">
      <c r="A378" s="11">
        <f>Names!$S$17</f>
        <v>0</v>
      </c>
    </row>
    <row r="379" spans="1:1" x14ac:dyDescent="0.3">
      <c r="A379" s="11">
        <f>Names!$T$17</f>
        <v>0</v>
      </c>
    </row>
    <row r="380" spans="1:1" x14ac:dyDescent="0.3">
      <c r="A380" s="11">
        <f>Names!$U$17</f>
        <v>0</v>
      </c>
    </row>
    <row r="381" spans="1:1" x14ac:dyDescent="0.3">
      <c r="A381" s="11">
        <f>Names!$V$17</f>
        <v>0</v>
      </c>
    </row>
    <row r="382" spans="1:1" x14ac:dyDescent="0.3">
      <c r="A382" s="11">
        <f>Names!$W$17</f>
        <v>0</v>
      </c>
    </row>
    <row r="383" spans="1:1" x14ac:dyDescent="0.3">
      <c r="A383" s="11" t="str">
        <f>Names!$X$17</f>
        <v>DMSO</v>
      </c>
    </row>
    <row r="384" spans="1:1" x14ac:dyDescent="0.3">
      <c r="A384" s="14" t="str">
        <f>Names!$Y$17</f>
        <v>DMSO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DCE4-3413-4198-AFBF-798ABA2FCCE2}">
  <sheetPr>
    <tabColor theme="4" tint="0.39997558519241921"/>
  </sheetPr>
  <dimension ref="A1:Y18"/>
  <sheetViews>
    <sheetView zoomScale="62" zoomScaleNormal="70" workbookViewId="0">
      <selection activeCell="D2" sqref="D2:W17"/>
    </sheetView>
  </sheetViews>
  <sheetFormatPr defaultColWidth="11" defaultRowHeight="39" customHeight="1" x14ac:dyDescent="0.3"/>
  <cols>
    <col min="1" max="3" width="11" style="1"/>
    <col min="4" max="4" width="11.5" style="1" bestFit="1" customWidth="1"/>
    <col min="5" max="6" width="11" style="1"/>
    <col min="7" max="7" width="10.296875" style="1" customWidth="1"/>
    <col min="8" max="13" width="11" style="1"/>
    <col min="14" max="14" width="12.19921875" style="1" customWidth="1"/>
    <col min="15" max="16" width="12.296875" style="1" customWidth="1"/>
    <col min="17" max="17" width="11.796875" style="1" customWidth="1"/>
    <col min="18" max="19" width="12.19921875" style="1" customWidth="1"/>
    <col min="20" max="20" width="13" style="1" customWidth="1"/>
    <col min="21" max="21" width="12.69921875" style="1" customWidth="1"/>
    <col min="22" max="23" width="12.19921875" style="1" customWidth="1"/>
    <col min="24" max="24" width="11.796875" style="1" customWidth="1"/>
    <col min="25" max="25" width="12.19921875" style="1" customWidth="1"/>
    <col min="26" max="16384" width="11" style="1"/>
  </cols>
  <sheetData>
    <row r="1" spans="1:25" ht="39" customHeight="1" x14ac:dyDescent="0.3">
      <c r="A1" s="7"/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8">
        <v>17</v>
      </c>
      <c r="S1" s="8">
        <v>18</v>
      </c>
      <c r="T1" s="8">
        <v>19</v>
      </c>
      <c r="U1" s="8">
        <v>20</v>
      </c>
      <c r="V1" s="8">
        <v>21</v>
      </c>
      <c r="W1" s="8">
        <v>22</v>
      </c>
      <c r="X1" s="8">
        <v>23</v>
      </c>
      <c r="Y1" s="8">
        <v>24</v>
      </c>
    </row>
    <row r="2" spans="1:25" ht="39" customHeight="1" x14ac:dyDescent="0.3">
      <c r="A2" s="7" t="s">
        <v>20</v>
      </c>
      <c r="B2" s="19" t="s">
        <v>445</v>
      </c>
      <c r="C2" s="19" t="s">
        <v>445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 t="s">
        <v>445</v>
      </c>
      <c r="Y2" s="19" t="s">
        <v>445</v>
      </c>
    </row>
    <row r="3" spans="1:25" ht="39" customHeight="1" x14ac:dyDescent="0.3">
      <c r="A3" s="7" t="s">
        <v>70</v>
      </c>
      <c r="B3" s="19" t="s">
        <v>446</v>
      </c>
      <c r="C3" s="19" t="s">
        <v>447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 t="s">
        <v>445</v>
      </c>
      <c r="Y3" s="19" t="s">
        <v>445</v>
      </c>
    </row>
    <row r="4" spans="1:25" ht="39" customHeight="1" x14ac:dyDescent="0.3">
      <c r="A4" s="7" t="s">
        <v>95</v>
      </c>
      <c r="B4" s="19" t="s">
        <v>445</v>
      </c>
      <c r="C4" s="19" t="s">
        <v>445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 t="s">
        <v>445</v>
      </c>
      <c r="Y4" s="19" t="s">
        <v>445</v>
      </c>
    </row>
    <row r="5" spans="1:25" ht="36" x14ac:dyDescent="0.3">
      <c r="A5" s="7" t="s">
        <v>120</v>
      </c>
      <c r="B5" s="19" t="s">
        <v>448</v>
      </c>
      <c r="C5" s="19" t="s">
        <v>449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 t="s">
        <v>445</v>
      </c>
      <c r="Y5" s="19" t="s">
        <v>445</v>
      </c>
    </row>
    <row r="6" spans="1:25" ht="18" x14ac:dyDescent="0.3">
      <c r="A6" s="7" t="s">
        <v>146</v>
      </c>
      <c r="B6" s="19" t="s">
        <v>445</v>
      </c>
      <c r="C6" s="19" t="s">
        <v>445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 t="s">
        <v>445</v>
      </c>
      <c r="Y6" s="19" t="s">
        <v>445</v>
      </c>
    </row>
    <row r="7" spans="1:25" ht="36" x14ac:dyDescent="0.3">
      <c r="A7" s="7" t="s">
        <v>171</v>
      </c>
      <c r="B7" s="19" t="s">
        <v>447</v>
      </c>
      <c r="C7" s="19" t="s">
        <v>450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 t="s">
        <v>445</v>
      </c>
      <c r="Y7" s="19" t="s">
        <v>445</v>
      </c>
    </row>
    <row r="8" spans="1:25" ht="18" x14ac:dyDescent="0.3">
      <c r="A8" s="7" t="s">
        <v>196</v>
      </c>
      <c r="B8" s="19" t="s">
        <v>445</v>
      </c>
      <c r="C8" s="19" t="s">
        <v>445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 t="s">
        <v>445</v>
      </c>
      <c r="Y8" s="19" t="s">
        <v>445</v>
      </c>
    </row>
    <row r="9" spans="1:25" ht="54" x14ac:dyDescent="0.3">
      <c r="A9" s="7" t="s">
        <v>221</v>
      </c>
      <c r="B9" s="19" t="s">
        <v>449</v>
      </c>
      <c r="C9" s="19" t="s">
        <v>446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 t="s">
        <v>445</v>
      </c>
      <c r="Y9" s="19" t="s">
        <v>445</v>
      </c>
    </row>
    <row r="10" spans="1:25" ht="18" x14ac:dyDescent="0.3">
      <c r="A10" s="7" t="s">
        <v>246</v>
      </c>
      <c r="B10" s="19" t="s">
        <v>445</v>
      </c>
      <c r="C10" s="19" t="s">
        <v>445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 t="s">
        <v>445</v>
      </c>
      <c r="Y10" s="19" t="s">
        <v>445</v>
      </c>
    </row>
    <row r="11" spans="1:25" ht="36" x14ac:dyDescent="0.3">
      <c r="A11" s="7" t="s">
        <v>271</v>
      </c>
      <c r="B11" s="19" t="s">
        <v>450</v>
      </c>
      <c r="C11" s="19" t="s">
        <v>448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 t="s">
        <v>445</v>
      </c>
      <c r="Y11" s="19" t="s">
        <v>445</v>
      </c>
    </row>
    <row r="12" spans="1:25" ht="18" x14ac:dyDescent="0.3">
      <c r="A12" s="7" t="s">
        <v>296</v>
      </c>
      <c r="B12" s="19" t="s">
        <v>445</v>
      </c>
      <c r="C12" s="19" t="s">
        <v>445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 t="s">
        <v>445</v>
      </c>
      <c r="Y12" s="19" t="s">
        <v>445</v>
      </c>
    </row>
    <row r="13" spans="1:25" ht="54" x14ac:dyDescent="0.3">
      <c r="A13" s="7" t="s">
        <v>321</v>
      </c>
      <c r="B13" s="19" t="s">
        <v>446</v>
      </c>
      <c r="C13" s="19" t="s">
        <v>447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 t="s">
        <v>445</v>
      </c>
      <c r="Y13" s="19" t="s">
        <v>445</v>
      </c>
    </row>
    <row r="14" spans="1:25" ht="18" x14ac:dyDescent="0.3">
      <c r="A14" s="7" t="s">
        <v>346</v>
      </c>
      <c r="B14" s="19" t="s">
        <v>445</v>
      </c>
      <c r="C14" s="19" t="s">
        <v>445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 t="s">
        <v>445</v>
      </c>
      <c r="Y14" s="19" t="s">
        <v>445</v>
      </c>
    </row>
    <row r="15" spans="1:25" ht="36" x14ac:dyDescent="0.3">
      <c r="A15" s="7" t="s">
        <v>371</v>
      </c>
      <c r="B15" s="19" t="s">
        <v>448</v>
      </c>
      <c r="C15" s="19" t="s">
        <v>449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 t="s">
        <v>445</v>
      </c>
      <c r="Y15" s="19" t="s">
        <v>445</v>
      </c>
    </row>
    <row r="16" spans="1:25" ht="18" x14ac:dyDescent="0.3">
      <c r="A16" s="7" t="s">
        <v>396</v>
      </c>
      <c r="B16" s="19" t="s">
        <v>445</v>
      </c>
      <c r="C16" s="19" t="s">
        <v>445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 t="s">
        <v>445</v>
      </c>
      <c r="Y16" s="19" t="s">
        <v>445</v>
      </c>
    </row>
    <row r="17" spans="1:25" ht="39" customHeight="1" x14ac:dyDescent="0.3">
      <c r="A17" s="7" t="s">
        <v>421</v>
      </c>
      <c r="B17" s="19" t="s">
        <v>445</v>
      </c>
      <c r="C17" s="19" t="s">
        <v>450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 t="s">
        <v>445</v>
      </c>
      <c r="Y17" s="19" t="s">
        <v>445</v>
      </c>
    </row>
    <row r="18" spans="1:25" ht="39" customHeight="1" x14ac:dyDescent="0.3">
      <c r="F18" s="9"/>
      <c r="K18" s="10"/>
    </row>
  </sheetData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4A19-D4D0-4EB6-AE64-1FD7A5BA371F}">
  <sheetPr>
    <tabColor theme="4" tint="0.39997558519241921"/>
  </sheetPr>
  <dimension ref="A1:Y18"/>
  <sheetViews>
    <sheetView zoomScale="75" zoomScaleNormal="58" workbookViewId="0">
      <selection activeCell="D2" sqref="D2:E17"/>
    </sheetView>
  </sheetViews>
  <sheetFormatPr defaultColWidth="11" defaultRowHeight="39" customHeight="1" x14ac:dyDescent="0.3"/>
  <cols>
    <col min="1" max="3" width="11" style="1"/>
    <col min="4" max="4" width="11.5" style="1" bestFit="1" customWidth="1"/>
    <col min="5" max="6" width="11" style="1"/>
    <col min="7" max="7" width="10.296875" style="1" customWidth="1"/>
    <col min="8" max="22" width="11" style="1"/>
    <col min="23" max="23" width="11.296875" style="1" customWidth="1"/>
    <col min="24" max="16384" width="11" style="1"/>
  </cols>
  <sheetData>
    <row r="1" spans="1:25" ht="39" customHeight="1" x14ac:dyDescent="0.3">
      <c r="A1" s="7"/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8">
        <v>17</v>
      </c>
      <c r="S1" s="8">
        <v>18</v>
      </c>
      <c r="T1" s="8">
        <v>19</v>
      </c>
      <c r="U1" s="8">
        <v>20</v>
      </c>
      <c r="V1" s="8">
        <v>21</v>
      </c>
      <c r="W1" s="8">
        <v>22</v>
      </c>
      <c r="X1" s="8">
        <v>23</v>
      </c>
      <c r="Y1" s="8">
        <v>24</v>
      </c>
    </row>
    <row r="2" spans="1:25" ht="39" customHeight="1" x14ac:dyDescent="0.3">
      <c r="A2" s="7" t="s">
        <v>20</v>
      </c>
      <c r="B2" s="19">
        <v>0</v>
      </c>
      <c r="C2" s="19">
        <v>0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>
        <v>0</v>
      </c>
      <c r="Y2" s="19">
        <v>0</v>
      </c>
    </row>
    <row r="3" spans="1:25" ht="39" customHeight="1" x14ac:dyDescent="0.3">
      <c r="A3" s="7" t="s">
        <v>70</v>
      </c>
      <c r="B3" s="19">
        <v>5</v>
      </c>
      <c r="C3" s="19">
        <v>1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>
        <v>0</v>
      </c>
      <c r="Y3" s="19">
        <v>0</v>
      </c>
    </row>
    <row r="4" spans="1:25" ht="39" customHeight="1" x14ac:dyDescent="0.3">
      <c r="A4" s="7" t="s">
        <v>95</v>
      </c>
      <c r="B4" s="19">
        <v>0</v>
      </c>
      <c r="C4" s="19">
        <v>0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>
        <v>0</v>
      </c>
      <c r="Y4" s="19">
        <v>0</v>
      </c>
    </row>
    <row r="5" spans="1:25" ht="39" customHeight="1" x14ac:dyDescent="0.3">
      <c r="A5" s="7" t="s">
        <v>120</v>
      </c>
      <c r="B5" s="19">
        <v>5</v>
      </c>
      <c r="C5" s="19">
        <v>1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>
        <v>0</v>
      </c>
      <c r="Y5" s="19">
        <v>0</v>
      </c>
    </row>
    <row r="6" spans="1:25" ht="39" customHeight="1" x14ac:dyDescent="0.3">
      <c r="A6" s="7" t="s">
        <v>146</v>
      </c>
      <c r="B6" s="19">
        <v>0</v>
      </c>
      <c r="C6" s="19">
        <v>0</v>
      </c>
      <c r="D6" s="19"/>
      <c r="E6" s="19"/>
      <c r="F6" s="20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>
        <v>0</v>
      </c>
      <c r="Y6" s="19">
        <v>0</v>
      </c>
    </row>
    <row r="7" spans="1:25" ht="39" customHeight="1" x14ac:dyDescent="0.3">
      <c r="A7" s="7" t="s">
        <v>171</v>
      </c>
      <c r="B7" s="19">
        <v>5</v>
      </c>
      <c r="C7" s="19">
        <v>1</v>
      </c>
      <c r="D7" s="19"/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19"/>
      <c r="Q7" s="19"/>
      <c r="R7" s="19"/>
      <c r="S7" s="19"/>
      <c r="T7" s="19"/>
      <c r="U7" s="19"/>
      <c r="V7" s="19"/>
      <c r="W7" s="19"/>
      <c r="X7" s="19">
        <v>0</v>
      </c>
      <c r="Y7" s="19">
        <v>0</v>
      </c>
    </row>
    <row r="8" spans="1:25" ht="39" customHeight="1" x14ac:dyDescent="0.3">
      <c r="A8" s="7" t="s">
        <v>196</v>
      </c>
      <c r="B8" s="19">
        <v>0</v>
      </c>
      <c r="C8" s="19">
        <v>0</v>
      </c>
      <c r="D8" s="19"/>
      <c r="E8" s="19"/>
      <c r="F8" s="21"/>
      <c r="G8" s="21"/>
      <c r="H8" s="21"/>
      <c r="I8" s="21"/>
      <c r="J8" s="21"/>
      <c r="K8" s="21"/>
      <c r="L8" s="21"/>
      <c r="M8" s="21"/>
      <c r="N8" s="21"/>
      <c r="O8" s="21"/>
      <c r="P8" s="19"/>
      <c r="Q8" s="19"/>
      <c r="R8" s="19"/>
      <c r="S8" s="19"/>
      <c r="T8" s="19"/>
      <c r="U8" s="19"/>
      <c r="V8" s="19"/>
      <c r="W8" s="19"/>
      <c r="X8" s="19">
        <v>0</v>
      </c>
      <c r="Y8" s="19">
        <v>0</v>
      </c>
    </row>
    <row r="9" spans="1:25" ht="39" customHeight="1" x14ac:dyDescent="0.3">
      <c r="A9" s="7" t="s">
        <v>221</v>
      </c>
      <c r="B9" s="19">
        <v>5</v>
      </c>
      <c r="C9" s="19">
        <v>0.3</v>
      </c>
      <c r="D9" s="19"/>
      <c r="E9" s="19"/>
      <c r="F9" s="21"/>
      <c r="G9" s="22"/>
      <c r="H9" s="22"/>
      <c r="I9" s="22"/>
      <c r="J9" s="22"/>
      <c r="K9" s="22"/>
      <c r="L9" s="22"/>
      <c r="M9" s="22"/>
      <c r="N9" s="22"/>
      <c r="O9" s="22"/>
      <c r="P9" s="19"/>
      <c r="Q9" s="19"/>
      <c r="R9" s="19"/>
      <c r="S9" s="19"/>
      <c r="T9" s="19"/>
      <c r="U9" s="19"/>
      <c r="V9" s="19"/>
      <c r="W9" s="19"/>
      <c r="X9" s="19">
        <v>0</v>
      </c>
      <c r="Y9" s="19">
        <v>0</v>
      </c>
    </row>
    <row r="10" spans="1:25" ht="39" customHeight="1" x14ac:dyDescent="0.3">
      <c r="A10" s="7" t="s">
        <v>246</v>
      </c>
      <c r="B10" s="19">
        <v>0</v>
      </c>
      <c r="C10" s="19">
        <v>0</v>
      </c>
      <c r="D10" s="19"/>
      <c r="E10" s="19"/>
      <c r="F10" s="21"/>
      <c r="G10" s="23"/>
      <c r="H10" s="23"/>
      <c r="I10" s="23"/>
      <c r="J10" s="23"/>
      <c r="K10" s="23"/>
      <c r="L10" s="23"/>
      <c r="M10" s="23"/>
      <c r="N10" s="23"/>
      <c r="O10" s="23"/>
      <c r="P10" s="19"/>
      <c r="Q10" s="19"/>
      <c r="R10" s="19"/>
      <c r="S10" s="19"/>
      <c r="T10" s="19"/>
      <c r="U10" s="19"/>
      <c r="V10" s="19"/>
      <c r="W10" s="19"/>
      <c r="X10" s="19">
        <v>0</v>
      </c>
      <c r="Y10" s="19">
        <v>0</v>
      </c>
    </row>
    <row r="11" spans="1:25" ht="39" customHeight="1" x14ac:dyDescent="0.3">
      <c r="A11" s="7" t="s">
        <v>271</v>
      </c>
      <c r="B11" s="19">
        <v>5</v>
      </c>
      <c r="C11" s="19">
        <v>0.3</v>
      </c>
      <c r="D11" s="19"/>
      <c r="E11" s="19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19"/>
      <c r="Q11" s="19"/>
      <c r="R11" s="19"/>
      <c r="S11" s="19"/>
      <c r="T11" s="19"/>
      <c r="U11" s="19"/>
      <c r="V11" s="19"/>
      <c r="W11" s="19"/>
      <c r="X11" s="19">
        <v>0</v>
      </c>
      <c r="Y11" s="19">
        <v>0</v>
      </c>
    </row>
    <row r="12" spans="1:25" ht="39" customHeight="1" x14ac:dyDescent="0.3">
      <c r="A12" s="7" t="s">
        <v>296</v>
      </c>
      <c r="B12" s="19">
        <v>0</v>
      </c>
      <c r="C12" s="19">
        <v>0</v>
      </c>
      <c r="D12" s="19"/>
      <c r="E12" s="19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19"/>
      <c r="Q12" s="19"/>
      <c r="R12" s="19"/>
      <c r="S12" s="19"/>
      <c r="T12" s="19"/>
      <c r="U12" s="19"/>
      <c r="V12" s="19"/>
      <c r="W12" s="19"/>
      <c r="X12" s="19">
        <v>0</v>
      </c>
      <c r="Y12" s="19">
        <v>0</v>
      </c>
    </row>
    <row r="13" spans="1:25" ht="39" customHeight="1" x14ac:dyDescent="0.3">
      <c r="A13" s="7" t="s">
        <v>321</v>
      </c>
      <c r="B13" s="19">
        <v>1</v>
      </c>
      <c r="C13" s="19">
        <v>0.3</v>
      </c>
      <c r="D13" s="19"/>
      <c r="E13" s="19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19"/>
      <c r="Q13" s="19"/>
      <c r="R13" s="19"/>
      <c r="S13" s="19"/>
      <c r="T13" s="19"/>
      <c r="U13" s="19"/>
      <c r="V13" s="19"/>
      <c r="W13" s="19"/>
      <c r="X13" s="19">
        <v>0</v>
      </c>
      <c r="Y13" s="19">
        <v>0</v>
      </c>
    </row>
    <row r="14" spans="1:25" ht="39" customHeight="1" x14ac:dyDescent="0.3">
      <c r="A14" s="7" t="s">
        <v>346</v>
      </c>
      <c r="B14" s="19">
        <v>0</v>
      </c>
      <c r="C14" s="19">
        <v>0</v>
      </c>
      <c r="D14" s="19"/>
      <c r="E14" s="19"/>
      <c r="F14" s="22"/>
      <c r="G14" s="23"/>
      <c r="H14" s="23"/>
      <c r="I14" s="23"/>
      <c r="J14" s="23"/>
      <c r="K14" s="23"/>
      <c r="L14" s="23"/>
      <c r="M14" s="23"/>
      <c r="N14" s="23"/>
      <c r="O14" s="23"/>
      <c r="P14" s="19"/>
      <c r="Q14" s="19"/>
      <c r="R14" s="19"/>
      <c r="S14" s="19"/>
      <c r="T14" s="19"/>
      <c r="U14" s="19"/>
      <c r="V14" s="19"/>
      <c r="W14" s="19"/>
      <c r="X14" s="19">
        <v>0</v>
      </c>
      <c r="Y14" s="19">
        <v>0</v>
      </c>
    </row>
    <row r="15" spans="1:25" ht="39" customHeight="1" x14ac:dyDescent="0.3">
      <c r="A15" s="7" t="s">
        <v>371</v>
      </c>
      <c r="B15" s="19">
        <v>1</v>
      </c>
      <c r="C15" s="19">
        <v>0.3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>
        <v>0</v>
      </c>
      <c r="Y15" s="19">
        <v>0</v>
      </c>
    </row>
    <row r="16" spans="1:25" ht="39" customHeight="1" x14ac:dyDescent="0.3">
      <c r="A16" s="7" t="s">
        <v>396</v>
      </c>
      <c r="B16" s="19">
        <v>0</v>
      </c>
      <c r="C16" s="19">
        <v>0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>
        <v>0</v>
      </c>
      <c r="Y16" s="19">
        <v>0</v>
      </c>
    </row>
    <row r="17" spans="1:25" ht="39" customHeight="1" x14ac:dyDescent="0.3">
      <c r="A17" s="7" t="s">
        <v>421</v>
      </c>
      <c r="B17" s="19">
        <v>0</v>
      </c>
      <c r="C17" s="19">
        <v>0.3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>
        <v>0</v>
      </c>
      <c r="Y17" s="19">
        <v>0</v>
      </c>
    </row>
    <row r="18" spans="1:25" ht="39" customHeight="1" x14ac:dyDescent="0.3">
      <c r="F18" s="9"/>
      <c r="K18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Sheet1</vt:lpstr>
      <vt:lpstr>Names</vt:lpstr>
      <vt:lpstr>Concentrations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 Deisinger</dc:creator>
  <cp:keywords/>
  <dc:description/>
  <cp:lastModifiedBy>Shawn French</cp:lastModifiedBy>
  <cp:revision/>
  <dcterms:created xsi:type="dcterms:W3CDTF">2023-06-06T15:42:27Z</dcterms:created>
  <dcterms:modified xsi:type="dcterms:W3CDTF">2026-07-09T17:26:56Z</dcterms:modified>
  <cp:category/>
  <cp:contentStatus/>
</cp:coreProperties>
</file>